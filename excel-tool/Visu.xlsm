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ivi conf avion\"/>
    </mc:Choice>
  </mc:AlternateContent>
  <xr:revisionPtr revIDLastSave="0" documentId="13_ncr:1_{1E513446-6DA6-461B-99B6-75CF838482AC}" xr6:coauthVersionLast="47" xr6:coauthVersionMax="47" xr10:uidLastSave="{00000000-0000-0000-0000-000000000000}"/>
  <bookViews>
    <workbookView showHorizontalScroll="0" showVerticalScroll="0" showSheetTabs="0" xWindow="-120" yWindow="-120" windowWidth="19440" windowHeight="15600" xr2:uid="{00000000-000D-0000-FFFF-FFFF00000000}"/>
  </bookViews>
  <sheets>
    <sheet name="visu" sheetId="1" r:id="rId1"/>
    <sheet name="PKG" sheetId="3" state="hidden" r:id="rId2"/>
    <sheet name="Pos" sheetId="2" state="hidden" r:id="rId3"/>
  </sheets>
  <externalReferences>
    <externalReference r:id="rId7"/>
  </externalReferences>
  <definedNames>
    <definedName name="copos" localSheetId="1">#REF!</definedName>
    <definedName name="copos">Pos!$A$1:$B$20</definedName>
    <definedName name="Posav">L1C1:L34C2</definedName>
    <definedName name="_xlnm.Print_Area" localSheetId="0">visu!$A$1:$S$41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7" i="1" l="1"/>
  <c r="O3" i="1"/>
  <c r="C8" i="1" l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B23" i="2" s="1"/>
  <c r="C30" i="1"/>
  <c r="B24" i="2" s="1"/>
  <c r="C31" i="1"/>
  <c r="B25" i="2" s="1"/>
  <c r="C7" i="1"/>
  <c r="L2" i="1" l="1"/>
  <c r="D8" i="1" l="1"/>
  <c r="E8" i="1"/>
  <c r="F8" i="1"/>
  <c r="G8" i="1"/>
  <c r="H8" i="1"/>
  <c r="I8" i="1"/>
  <c r="J8" i="1"/>
  <c r="K8" i="1"/>
  <c r="L8" i="1"/>
  <c r="M8" i="1"/>
  <c r="N8" i="1"/>
  <c r="O8" i="1"/>
  <c r="P8" i="1"/>
  <c r="D9" i="1"/>
  <c r="E9" i="1"/>
  <c r="F9" i="1"/>
  <c r="G9" i="1"/>
  <c r="H9" i="1"/>
  <c r="I9" i="1"/>
  <c r="J9" i="1"/>
  <c r="K9" i="1"/>
  <c r="L9" i="1"/>
  <c r="M9" i="1"/>
  <c r="N9" i="1"/>
  <c r="O9" i="1"/>
  <c r="P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D29" i="1"/>
  <c r="A23" i="2" s="1"/>
  <c r="E29" i="1"/>
  <c r="F29" i="1"/>
  <c r="G29" i="1"/>
  <c r="H29" i="1"/>
  <c r="I29" i="1"/>
  <c r="J29" i="1"/>
  <c r="K29" i="1"/>
  <c r="L29" i="1"/>
  <c r="M29" i="1"/>
  <c r="N29" i="1"/>
  <c r="O29" i="1"/>
  <c r="P29" i="1"/>
  <c r="D30" i="1"/>
  <c r="A24" i="2" s="1"/>
  <c r="E30" i="1"/>
  <c r="F30" i="1"/>
  <c r="G30" i="1"/>
  <c r="H30" i="1"/>
  <c r="I30" i="1"/>
  <c r="J30" i="1"/>
  <c r="K30" i="1"/>
  <c r="L30" i="1"/>
  <c r="M30" i="1"/>
  <c r="N30" i="1"/>
  <c r="O30" i="1"/>
  <c r="P30" i="1"/>
  <c r="D31" i="1"/>
  <c r="A25" i="2" s="1"/>
  <c r="E31" i="1"/>
  <c r="F31" i="1"/>
  <c r="G31" i="1"/>
  <c r="H31" i="1"/>
  <c r="I31" i="1"/>
  <c r="J31" i="1"/>
  <c r="K31" i="1"/>
  <c r="L31" i="1"/>
  <c r="M31" i="1"/>
  <c r="N31" i="1"/>
  <c r="O31" i="1"/>
  <c r="P31" i="1"/>
  <c r="P7" i="1"/>
  <c r="O7" i="1"/>
  <c r="L7" i="1"/>
  <c r="K7" i="1"/>
  <c r="J7" i="1"/>
  <c r="I7" i="1"/>
  <c r="H7" i="1"/>
  <c r="G7" i="1"/>
  <c r="F7" i="1"/>
  <c r="E7" i="1"/>
  <c r="D7" i="1"/>
  <c r="P37" i="1"/>
  <c r="Q32" i="1"/>
  <c r="Q29" i="1"/>
  <c r="Q30" i="1"/>
  <c r="Q31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7" i="1"/>
  <c r="N7" i="1" l="1"/>
  <c r="A21" i="2"/>
  <c r="A22" i="2"/>
  <c r="B21" i="2"/>
  <c r="B22" i="2"/>
  <c r="Q27" i="1"/>
  <c r="Q28" i="1"/>
  <c r="B29" i="2" l="1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28" i="2"/>
  <c r="B28" i="2"/>
  <c r="Q8" i="1" l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7" i="1"/>
  <c r="Q24" i="1"/>
  <c r="Q25" i="1"/>
  <c r="Q26" i="1"/>
  <c r="M7" i="1" l="1"/>
  <c r="A1" i="2" l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P31" i="3" l="1"/>
  <c r="I33" i="3"/>
  <c r="H33" i="3"/>
  <c r="J33" i="3"/>
  <c r="H31" i="3"/>
  <c r="R31" i="3"/>
  <c r="J31" i="3"/>
  <c r="B20" i="2" l="1"/>
  <c r="B19" i="2"/>
  <c r="B18" i="2"/>
  <c r="B17" i="2"/>
  <c r="B16" i="2"/>
  <c r="B15" i="2"/>
  <c r="B14" i="2"/>
  <c r="B13" i="2"/>
  <c r="B9" i="2"/>
  <c r="B8" i="2"/>
  <c r="B7" i="2"/>
  <c r="B6" i="2"/>
  <c r="B5" i="2"/>
  <c r="B4" i="2"/>
  <c r="B3" i="2"/>
  <c r="B2" i="2"/>
  <c r="B1" i="2"/>
  <c r="P33" i="3" l="1"/>
  <c r="S8" i="3"/>
  <c r="N31" i="3"/>
  <c r="D18" i="3"/>
  <c r="Q31" i="3"/>
  <c r="R29" i="3"/>
  <c r="I29" i="3"/>
  <c r="J29" i="3"/>
  <c r="I31" i="3"/>
  <c r="R18" i="3"/>
  <c r="I27" i="3"/>
  <c r="B10" i="2"/>
  <c r="B11" i="2"/>
  <c r="B12" i="2"/>
  <c r="H29" i="3" s="1"/>
  <c r="D31" i="3" l="1"/>
  <c r="M31" i="3"/>
  <c r="N33" i="3"/>
  <c r="D8" i="3"/>
  <c r="R8" i="3"/>
  <c r="Q8" i="3"/>
  <c r="P8" i="3"/>
  <c r="E27" i="3"/>
  <c r="Q29" i="3"/>
  <c r="N8" i="3"/>
  <c r="L29" i="3"/>
  <c r="P29" i="3"/>
  <c r="F31" i="3"/>
  <c r="L31" i="3"/>
  <c r="O8" i="3"/>
  <c r="N29" i="3"/>
  <c r="F18" i="3"/>
  <c r="R33" i="3"/>
  <c r="D29" i="3"/>
  <c r="L33" i="3"/>
  <c r="F8" i="3"/>
  <c r="M29" i="3"/>
  <c r="E31" i="3"/>
  <c r="L8" i="3"/>
  <c r="E33" i="3"/>
  <c r="D33" i="3"/>
  <c r="F29" i="3"/>
  <c r="E29" i="3"/>
  <c r="M8" i="3"/>
  <c r="H8" i="3"/>
  <c r="G8" i="3"/>
  <c r="I18" i="3"/>
  <c r="E8" i="3"/>
  <c r="J8" i="3"/>
  <c r="K8" i="3"/>
  <c r="E18" i="3"/>
  <c r="G18" i="3"/>
  <c r="H18" i="3"/>
  <c r="I8" i="3"/>
</calcChain>
</file>

<file path=xl/sharedStrings.xml><?xml version="1.0" encoding="utf-8"?>
<sst xmlns="http://schemas.openxmlformats.org/spreadsheetml/2006/main" count="58" uniqueCount="57">
  <si>
    <t>AVION</t>
  </si>
  <si>
    <t>Camp.</t>
  </si>
  <si>
    <t>O2</t>
  </si>
  <si>
    <t>QTE</t>
  </si>
  <si>
    <t>v</t>
  </si>
  <si>
    <t>Val</t>
  </si>
  <si>
    <t>Observations</t>
  </si>
  <si>
    <t>Plein</t>
  </si>
  <si>
    <t>Gilets</t>
  </si>
  <si>
    <t>Pos.</t>
  </si>
  <si>
    <t>A1</t>
  </si>
  <si>
    <t>B1</t>
  </si>
  <si>
    <t>C1</t>
  </si>
  <si>
    <t>D1</t>
  </si>
  <si>
    <t>A2</t>
  </si>
  <si>
    <t>B2</t>
  </si>
  <si>
    <t>C2</t>
  </si>
  <si>
    <t>D2</t>
  </si>
  <si>
    <t>A3</t>
  </si>
  <si>
    <t>B3</t>
  </si>
  <si>
    <t>C3</t>
  </si>
  <si>
    <t>D3</t>
  </si>
  <si>
    <t>A4</t>
  </si>
  <si>
    <t>B4</t>
  </si>
  <si>
    <t>C4</t>
  </si>
  <si>
    <t>D4</t>
  </si>
  <si>
    <t>A5</t>
  </si>
  <si>
    <t>B5</t>
  </si>
  <si>
    <t>C5</t>
  </si>
  <si>
    <t>D5</t>
  </si>
  <si>
    <t>A6</t>
  </si>
  <si>
    <t>B6</t>
  </si>
  <si>
    <t>C6</t>
  </si>
  <si>
    <t>D6</t>
  </si>
  <si>
    <t>A7</t>
  </si>
  <si>
    <t>B7</t>
  </si>
  <si>
    <t>C7</t>
  </si>
  <si>
    <t>D7</t>
  </si>
  <si>
    <t>A8</t>
  </si>
  <si>
    <t>B8</t>
  </si>
  <si>
    <t>C8</t>
  </si>
  <si>
    <t>D8</t>
  </si>
  <si>
    <t>A9</t>
  </si>
  <si>
    <t>B9</t>
  </si>
  <si>
    <t>B10</t>
  </si>
  <si>
    <t>LAV</t>
  </si>
  <si>
    <t>Lavage</t>
  </si>
  <si>
    <t>Avions hors ligne</t>
  </si>
  <si>
    <t>num avion</t>
  </si>
  <si>
    <t>Pos</t>
  </si>
  <si>
    <t>Mise à jour FDS / KANNAD</t>
  </si>
  <si>
    <t>AM</t>
  </si>
  <si>
    <t>PM</t>
  </si>
  <si>
    <t>VDN</t>
  </si>
  <si>
    <t>PTR</t>
  </si>
  <si>
    <t>AVQ</t>
  </si>
  <si>
    <t>11:00:19 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</si>
</sst>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dd/mm/yy;@"/>
    <numFmt numFmtId="166" formatCode="#,#00"/>
  </numFmts>
  <fonts count="27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28"/>
      <color theme="1"/>
      <name val="Arial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name val="Arial"/>
      <family val="2"/>
    </font>
    <font>
      <b/>
      <sz val="16"/>
      <name val="Arial"/>
      <family val="2"/>
    </font>
    <font>
      <b/>
      <sz val="14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4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rgb="FF00CC00"/>
      <name val="Calibri"/>
      <family val="2"/>
      <scheme val="minor"/>
    </font>
    <font>
      <b/>
      <sz val="22"/>
      <color theme="6" tint="-0.499984740745262"/>
      <name val="Calibri"/>
      <family val="2"/>
      <scheme val="minor"/>
    </font>
    <font>
      <b/>
      <sz val="25"/>
      <color theme="1"/>
      <name val="Arial"/>
      <family val="2"/>
    </font>
    <font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60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8">
    <xf numFmtId="0" fontId="0" fillId="0" borderId="0" xfId="0"/>
    <xf numFmtId="0" fontId="5" fillId="0" borderId="0" xfId="0" applyFont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13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7" fillId="0" borderId="0" xfId="0" applyNumberFormat="1" applyFont="1" applyAlignment="1" applyProtection="1">
      <alignment horizontal="center" vertical="center"/>
      <protection locked="0"/>
    </xf>
    <xf numFmtId="0" fontId="9" fillId="0" borderId="0" xfId="1" applyFont="1" applyFill="1" applyBorder="1" applyAlignment="1" applyProtection="1">
      <alignment horizontal="center" vertical="center"/>
    </xf>
    <xf numFmtId="1" fontId="1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/>
    <xf numFmtId="0" fontId="7" fillId="0" borderId="5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0" fillId="0" borderId="2" xfId="0" applyBorder="1"/>
    <xf numFmtId="0" fontId="8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2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1" fillId="0" borderId="12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49" fontId="1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165" fontId="7" fillId="2" borderId="0" xfId="0" applyNumberFormat="1" applyFont="1" applyFill="1" applyAlignment="1">
      <alignment horizontal="center" vertical="center"/>
    </xf>
    <xf numFmtId="0" fontId="16" fillId="0" borderId="15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6" fillId="2" borderId="0" xfId="0" applyFont="1" applyFill="1"/>
    <xf numFmtId="1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2" borderId="0" xfId="0" applyFont="1" applyFill="1"/>
    <xf numFmtId="1" fontId="0" fillId="0" borderId="3" xfId="0" applyNumberFormat="1" applyBorder="1" applyAlignment="1">
      <alignment horizontal="center" vertical="center"/>
    </xf>
    <xf numFmtId="0" fontId="20" fillId="2" borderId="0" xfId="0" applyFont="1" applyFill="1"/>
    <xf numFmtId="0" fontId="0" fillId="0" borderId="3" xfId="0" applyBorder="1"/>
    <xf numFmtId="0" fontId="0" fillId="0" borderId="23" xfId="0" applyBorder="1"/>
    <xf numFmtId="0" fontId="0" fillId="0" borderId="4" xfId="0" applyBorder="1"/>
    <xf numFmtId="0" fontId="0" fillId="0" borderId="3" xfId="0" applyBorder="1" applyAlignment="1">
      <alignment horizontal="center" vertical="center"/>
    </xf>
    <xf numFmtId="0" fontId="0" fillId="0" borderId="24" xfId="0" applyBorder="1"/>
    <xf numFmtId="0" fontId="20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right" vertical="center"/>
    </xf>
    <xf numFmtId="0" fontId="20" fillId="2" borderId="0" xfId="0" applyFont="1" applyFill="1" applyAlignment="1">
      <alignment horizontal="center"/>
    </xf>
    <xf numFmtId="0" fontId="20" fillId="2" borderId="0" xfId="0" applyFont="1" applyFill="1" applyAlignment="1">
      <alignment horizontal="right"/>
    </xf>
    <xf numFmtId="0" fontId="21" fillId="0" borderId="1" xfId="0" applyFont="1" applyBorder="1" applyAlignment="1">
      <alignment horizontal="center" vertical="center"/>
    </xf>
    <xf numFmtId="21" fontId="0" fillId="2" borderId="0" xfId="0" applyNumberFormat="1" applyFill="1"/>
    <xf numFmtId="164" fontId="15" fillId="2" borderId="0" xfId="0" applyNumberFormat="1" applyFont="1" applyFill="1"/>
    <xf numFmtId="0" fontId="23" fillId="0" borderId="2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1" fillId="0" borderId="25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1" fontId="18" fillId="0" borderId="29" xfId="0" applyNumberFormat="1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33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0" fillId="0" borderId="30" xfId="0" applyBorder="1"/>
    <xf numFmtId="0" fontId="6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1" fontId="18" fillId="0" borderId="4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0" fontId="11" fillId="0" borderId="38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17" fillId="0" borderId="37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1" fontId="18" fillId="0" borderId="42" xfId="0" applyNumberFormat="1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 wrapText="1"/>
    </xf>
    <xf numFmtId="0" fontId="11" fillId="0" borderId="45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0" fontId="17" fillId="0" borderId="45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0" fontId="0" fillId="0" borderId="43" xfId="0" applyBorder="1"/>
    <xf numFmtId="0" fontId="6" fillId="0" borderId="48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1" fontId="18" fillId="0" borderId="24" xfId="0" applyNumberFormat="1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11" fillId="0" borderId="51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center" vertical="center" wrapText="1"/>
    </xf>
    <xf numFmtId="0" fontId="17" fillId="0" borderId="50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0" fillId="0" borderId="49" xfId="0" applyBorder="1"/>
    <xf numFmtId="0" fontId="8" fillId="0" borderId="49" xfId="0" applyFont="1" applyBorder="1" applyAlignment="1">
      <alignment horizontal="center" vertical="center" wrapText="1"/>
    </xf>
    <xf numFmtId="0" fontId="6" fillId="0" borderId="53" xfId="0" applyFont="1" applyBorder="1" applyAlignment="1">
      <alignment horizontal="center" vertical="center"/>
    </xf>
    <xf numFmtId="0" fontId="0" fillId="2" borderId="54" xfId="0" applyFill="1" applyBorder="1"/>
    <xf numFmtId="0" fontId="23" fillId="2" borderId="5" xfId="0" applyFont="1" applyFill="1" applyBorder="1" applyAlignment="1">
      <alignment horizontal="center" vertical="center"/>
    </xf>
    <xf numFmtId="1" fontId="6" fillId="0" borderId="3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1" fontId="26" fillId="2" borderId="0" xfId="0" applyNumberFormat="1" applyFont="1" applyFill="1"/>
    <xf numFmtId="0" fontId="26" fillId="0" borderId="0" xfId="0" applyFont="1"/>
    <xf numFmtId="0" fontId="20" fillId="2" borderId="16" xfId="0" applyFont="1" applyFill="1" applyBorder="1" applyAlignment="1">
      <alignment vertical="center"/>
    </xf>
    <xf numFmtId="2" fontId="26" fillId="2" borderId="0" xfId="0" applyNumberFormat="1" applyFont="1" applyFill="1"/>
    <xf numFmtId="0" fontId="20" fillId="2" borderId="0" xfId="0" applyFont="1" applyFill="1" applyAlignment="1">
      <alignment horizontal="left"/>
    </xf>
    <xf numFmtId="0" fontId="26" fillId="0" borderId="0" xfId="0" applyFont="1" applyAlignment="1">
      <alignment horizontal="center"/>
    </xf>
    <xf numFmtId="49" fontId="8" fillId="0" borderId="43" xfId="0" applyNumberFormat="1" applyFont="1" applyBorder="1" applyAlignment="1">
      <alignment horizontal="center" vertical="center" wrapText="1"/>
    </xf>
    <xf numFmtId="49" fontId="8" fillId="0" borderId="3" xfId="0" applyNumberFormat="1" applyFont="1" applyBorder="1" applyAlignment="1">
      <alignment horizontal="center" vertical="center" wrapText="1"/>
    </xf>
    <xf numFmtId="49" fontId="8" fillId="0" borderId="30" xfId="0" applyNumberFormat="1" applyFont="1" applyBorder="1" applyAlignment="1">
      <alignment horizontal="center" vertical="center" wrapText="1"/>
    </xf>
    <xf numFmtId="0" fontId="4" fillId="3" borderId="55" xfId="0" applyFont="1" applyFill="1" applyBorder="1" applyAlignment="1">
      <alignment horizontal="center" vertical="center"/>
    </xf>
    <xf numFmtId="0" fontId="4" fillId="3" borderId="56" xfId="0" applyFont="1" applyFill="1" applyBorder="1" applyAlignment="1">
      <alignment horizontal="center" vertical="center"/>
    </xf>
    <xf numFmtId="0" fontId="4" fillId="3" borderId="57" xfId="0" applyFont="1" applyFill="1" applyBorder="1" applyAlignment="1">
      <alignment horizontal="center" vertical="center"/>
    </xf>
    <xf numFmtId="0" fontId="4" fillId="3" borderId="58" xfId="0" applyFont="1" applyFill="1" applyBorder="1" applyAlignment="1">
      <alignment horizontal="center" vertical="center"/>
    </xf>
    <xf numFmtId="0" fontId="4" fillId="3" borderId="59" xfId="0" applyFont="1" applyFill="1" applyBorder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14" fontId="22" fillId="2" borderId="21" xfId="0" applyNumberFormat="1" applyFont="1" applyFill="1" applyBorder="1" applyAlignment="1">
      <alignment horizontal="center" vertical="center"/>
    </xf>
    <xf numFmtId="14" fontId="22" fillId="2" borderId="22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24" fillId="2" borderId="0" xfId="0" applyNumberFormat="1" applyFont="1" applyFill="1" applyAlignment="1">
      <alignment horizontal="right"/>
    </xf>
    <xf numFmtId="21" fontId="25" fillId="2" borderId="0" xfId="0" applyNumberFormat="1" applyFont="1" applyFill="1" applyAlignment="1">
      <alignment horizontal="right"/>
    </xf>
    <xf numFmtId="0" fontId="25" fillId="2" borderId="0" xfId="0" applyFont="1" applyFill="1" applyAlignment="1">
      <alignment horizontal="right"/>
    </xf>
    <xf numFmtId="166" fontId="24" fillId="2" borderId="0" xfId="0" applyNumberFormat="1" applyFont="1" applyFill="1" applyAlignment="1">
      <alignment horizontal="right"/>
    </xf>
    <xf numFmtId="0" fontId="26" fillId="2" borderId="17" xfId="0" applyFont="1" applyFill="1" applyBorder="1" applyAlignment="1">
      <alignment horizontal="center" vertical="center"/>
    </xf>
    <xf numFmtId="0" fontId="26" fillId="2" borderId="18" xfId="0" applyFont="1" applyFill="1" applyBorder="1" applyAlignment="1">
      <alignment horizontal="center" vertical="center"/>
    </xf>
  </cellXfs>
  <cellStyles count="2">
    <cellStyle name="Normal" xfId="0" builtinId="0"/>
    <cellStyle name="Titre" xfId="1" builtinId="15"/>
  </cellStyles>
  <dxfs count="58"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C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CC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49803155613879818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3" tint="0.40000610370189521"/>
          </stop>
          <stop position="1">
            <color theme="0"/>
          </stop>
        </gradientFill>
      </fill>
    </dxf>
    <dxf>
      <fill>
        <patternFill>
          <bgColor theme="4" tint="0.79998168889431442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24"/>
        <color theme="1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25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bottom style="thin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Medium9"/>
  <colors>
    <mruColors>
      <color rgb="FFFF99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114492</xdr:colOff>
      <xdr:row>0</xdr:row>
      <xdr:rowOff>0</xdr:rowOff>
    </xdr:from>
    <xdr:to>
      <xdr:col>14</xdr:col>
      <xdr:colOff>1355629</xdr:colOff>
      <xdr:row>4</xdr:row>
      <xdr:rowOff>975668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742" y="0"/>
          <a:ext cx="5961304" cy="2203335"/>
        </a:xfrm>
        <a:prstGeom prst="rect">
          <a:avLst/>
        </a:prstGeom>
        <a:ln>
          <a:noFill/>
        </a:ln>
        <a:effectLst>
          <a:outerShdw blurRad="88900" dist="50800" dir="3000000" algn="tl" rotWithShape="0">
            <a:srgbClr val="000000">
              <a:alpha val="81000"/>
            </a:srgbClr>
          </a:outerShdw>
        </a:effectLst>
      </xdr:spPr>
    </xdr:pic>
    <xdr:clientData/>
  </xdr:twoCellAnchor>
  <xdr:oneCellAnchor>
    <xdr:from>
      <xdr:col>1</xdr:col>
      <xdr:colOff>123825</xdr:colOff>
      <xdr:row>4</xdr:row>
      <xdr:rowOff>476250</xdr:rowOff>
    </xdr:from>
    <xdr:ext cx="9525000" cy="1219436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7175" y="1704975"/>
          <a:ext cx="9525000" cy="1219436"/>
        </a:xfrm>
        <a:prstGeom prst="rect">
          <a:avLst/>
        </a:prstGeom>
        <a:noFill/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fr-FR" sz="72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Situation Avions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95250</xdr:rowOff>
        </xdr:from>
        <xdr:to>
          <xdr:col>1</xdr:col>
          <xdr:colOff>781050</xdr:colOff>
          <xdr:row>3</xdr:row>
          <xdr:rowOff>123825</xdr:rowOff>
        </xdr:to>
        <xdr:sp macro="" textlink="">
          <xdr:nvSpPr>
            <xdr:cNvPr id="1026" name="Exi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28575</xdr:rowOff>
        </xdr:from>
        <xdr:to>
          <xdr:col>11</xdr:col>
          <xdr:colOff>490480</xdr:colOff>
          <xdr:row>42</xdr:row>
          <xdr:rowOff>114300</xdr:rowOff>
        </xdr:to>
        <xdr:pic>
          <xdr:nvPicPr>
            <xdr:cNvPr id="6" name="Imag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KG!$B$4:$S$34" spid="_x0000_s12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4554200"/>
              <a:ext cx="6281372" cy="3629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1</xdr:row>
          <xdr:rowOff>95250</xdr:rowOff>
        </xdr:from>
        <xdr:to>
          <xdr:col>3</xdr:col>
          <xdr:colOff>476250</xdr:colOff>
          <xdr:row>3</xdr:row>
          <xdr:rowOff>123825</xdr:rowOff>
        </xdr:to>
        <xdr:sp macro="" textlink="">
          <xdr:nvSpPr>
            <xdr:cNvPr id="1129" name="FullScr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</xdr:colOff>
      <xdr:row>1</xdr:row>
      <xdr:rowOff>3505200</xdr:rowOff>
    </xdr:from>
    <xdr:to>
      <xdr:col>19</xdr:col>
      <xdr:colOff>19050</xdr:colOff>
      <xdr:row>34</xdr:row>
      <xdr:rowOff>202406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3505200"/>
          <a:ext cx="9782173" cy="7469981"/>
        </a:xfrm>
        <a:prstGeom prst="rect">
          <a:avLst/>
        </a:prstGeom>
      </xdr:spPr>
    </xdr:pic>
    <xdr:clientData/>
  </xdr:twoCellAnchor>
</xdr:wsDr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iste%20-%20V3.xlsm" TargetMode="External"/></Relationships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ituation"/>
      <sheetName val="Gestion"/>
      <sheetName val="Paramètre"/>
      <sheetName val="Graphique3"/>
      <sheetName val="Graphique2"/>
      <sheetName val="Graphique1"/>
    </sheetNames>
    <sheetDataSet>
      <sheetData sheetId="0">
        <row r="7">
          <cell r="C7">
            <v>65</v>
          </cell>
          <cell r="D7" t="str">
            <v xml:space="preserve"> EXT</v>
          </cell>
          <cell r="E7" t="str">
            <v>X</v>
          </cell>
          <cell r="F7" t="str">
            <v>X</v>
          </cell>
          <cell r="G7"/>
          <cell r="H7"/>
          <cell r="I7"/>
          <cell r="J7"/>
          <cell r="K7"/>
          <cell r="L7" t="str">
            <v>INC</v>
          </cell>
          <cell r="M7"/>
          <cell r="N7"/>
          <cell r="O7" t="str">
            <v>DISPO BIARRITZ // plein 02 + PPV</v>
          </cell>
          <cell r="P7"/>
          <cell r="Q7"/>
        </row>
        <row r="8">
          <cell r="C8">
            <v>67</v>
          </cell>
          <cell r="D8"/>
          <cell r="E8"/>
          <cell r="F8"/>
          <cell r="G8" t="str">
            <v>VOL</v>
          </cell>
          <cell r="H8" t="str">
            <v>EXT</v>
          </cell>
          <cell r="I8"/>
          <cell r="J8"/>
          <cell r="K8"/>
          <cell r="L8" t="str">
            <v>1T100</v>
          </cell>
          <cell r="M8"/>
          <cell r="N8"/>
          <cell r="O8"/>
          <cell r="P8" t="str">
            <v>+3 D</v>
          </cell>
          <cell r="Q8" t="str">
            <v>V</v>
          </cell>
        </row>
        <row r="9">
          <cell r="C9">
            <v>68</v>
          </cell>
          <cell r="D9">
            <v>12</v>
          </cell>
          <cell r="E9"/>
          <cell r="F9"/>
          <cell r="G9"/>
          <cell r="H9" t="str">
            <v>VOL</v>
          </cell>
          <cell r="I9"/>
          <cell r="J9"/>
          <cell r="K9"/>
          <cell r="L9" t="str">
            <v>1T100</v>
          </cell>
          <cell r="M9"/>
          <cell r="N9"/>
          <cell r="O9"/>
          <cell r="P9"/>
          <cell r="Q9"/>
        </row>
        <row r="10">
          <cell r="C10">
            <v>72</v>
          </cell>
          <cell r="D10"/>
          <cell r="E10"/>
          <cell r="F10"/>
          <cell r="G10"/>
          <cell r="H10" t="str">
            <v>VOL</v>
          </cell>
          <cell r="I10"/>
          <cell r="J10"/>
          <cell r="K10"/>
          <cell r="L10" t="str">
            <v>1T100</v>
          </cell>
          <cell r="M10"/>
          <cell r="N10"/>
          <cell r="O10"/>
          <cell r="P10"/>
          <cell r="Q10"/>
        </row>
        <row r="11">
          <cell r="C11">
            <v>74</v>
          </cell>
          <cell r="D11" t="str">
            <v>C2</v>
          </cell>
          <cell r="E11" t="str">
            <v>X</v>
          </cell>
          <cell r="F11"/>
          <cell r="G11" t="str">
            <v>RESA</v>
          </cell>
          <cell r="H11"/>
          <cell r="I11"/>
          <cell r="J11"/>
          <cell r="K11"/>
          <cell r="L11" t="str">
            <v>1T100</v>
          </cell>
          <cell r="M11"/>
          <cell r="N11" t="str">
            <v>V</v>
          </cell>
          <cell r="O11"/>
          <cell r="P11"/>
          <cell r="Q11"/>
        </row>
        <row r="12">
          <cell r="C12">
            <v>78</v>
          </cell>
          <cell r="D12"/>
          <cell r="E12"/>
          <cell r="F12"/>
          <cell r="G12"/>
          <cell r="H12" t="str">
            <v>VOL</v>
          </cell>
          <cell r="I12"/>
          <cell r="J12"/>
          <cell r="K12"/>
          <cell r="L12" t="str">
            <v>1T100</v>
          </cell>
          <cell r="M12"/>
          <cell r="N12"/>
          <cell r="O12"/>
          <cell r="P12"/>
          <cell r="Q12"/>
        </row>
        <row r="13">
          <cell r="C13">
            <v>81</v>
          </cell>
          <cell r="D13">
            <v>15</v>
          </cell>
          <cell r="E13"/>
          <cell r="F13"/>
          <cell r="G13"/>
          <cell r="H13" t="str">
            <v>APV SPARE</v>
          </cell>
          <cell r="I13"/>
          <cell r="J13"/>
          <cell r="K13"/>
          <cell r="L13" t="str">
            <v>1T100</v>
          </cell>
          <cell r="M13" t="str">
            <v>510/510</v>
          </cell>
          <cell r="N13" t="str">
            <v>V</v>
          </cell>
          <cell r="O13"/>
          <cell r="P13"/>
          <cell r="Q13"/>
        </row>
        <row r="14">
          <cell r="C14">
            <v>82</v>
          </cell>
          <cell r="D14" t="str">
            <v>C3</v>
          </cell>
          <cell r="E14"/>
          <cell r="F14"/>
          <cell r="G14"/>
          <cell r="H14" t="str">
            <v>PPV SPARE</v>
          </cell>
          <cell r="I14"/>
          <cell r="J14" t="str">
            <v>MTN</v>
          </cell>
          <cell r="K14" t="str">
            <v>SPN</v>
          </cell>
          <cell r="L14" t="str">
            <v>1T100</v>
          </cell>
          <cell r="M14"/>
          <cell r="N14" t="str">
            <v>V</v>
          </cell>
          <cell r="O14"/>
          <cell r="P14"/>
          <cell r="Q14"/>
        </row>
        <row r="15">
          <cell r="C15">
            <v>83</v>
          </cell>
          <cell r="D15">
            <v>16</v>
          </cell>
          <cell r="E15"/>
          <cell r="F15"/>
          <cell r="G15"/>
          <cell r="H15" t="str">
            <v>VOL</v>
          </cell>
          <cell r="I15"/>
          <cell r="J15"/>
          <cell r="K15"/>
          <cell r="L15" t="str">
            <v>1T100</v>
          </cell>
          <cell r="M15"/>
          <cell r="N15"/>
          <cell r="O15"/>
          <cell r="P15"/>
          <cell r="Q15"/>
        </row>
        <row r="16">
          <cell r="C16">
            <v>86</v>
          </cell>
          <cell r="D16">
            <v>10</v>
          </cell>
          <cell r="E16"/>
          <cell r="F16"/>
          <cell r="G16"/>
          <cell r="H16" t="str">
            <v>APV SPARE</v>
          </cell>
          <cell r="I16"/>
          <cell r="J16" t="str">
            <v>MTN</v>
          </cell>
          <cell r="K16" t="str">
            <v>OK</v>
          </cell>
          <cell r="L16" t="str">
            <v>1T100</v>
          </cell>
          <cell r="M16" t="str">
            <v>290/290</v>
          </cell>
          <cell r="N16" t="str">
            <v>V</v>
          </cell>
          <cell r="O16"/>
          <cell r="P16"/>
          <cell r="Q16"/>
        </row>
        <row r="17">
          <cell r="C17">
            <v>87</v>
          </cell>
          <cell r="D17"/>
          <cell r="E17"/>
          <cell r="F17"/>
          <cell r="G17"/>
          <cell r="H17" t="str">
            <v>VOL</v>
          </cell>
          <cell r="I17"/>
          <cell r="J17"/>
          <cell r="K17"/>
          <cell r="L17" t="str">
            <v>1T100</v>
          </cell>
          <cell r="M17"/>
          <cell r="N17"/>
          <cell r="O17"/>
          <cell r="P17"/>
          <cell r="Q17"/>
        </row>
        <row r="18">
          <cell r="C18">
            <v>90</v>
          </cell>
          <cell r="D18">
            <v>8</v>
          </cell>
          <cell r="E18"/>
          <cell r="F18"/>
          <cell r="G18"/>
          <cell r="H18" t="str">
            <v>PPV SPARE</v>
          </cell>
          <cell r="I18"/>
          <cell r="J18" t="str">
            <v>LCS</v>
          </cell>
          <cell r="K18" t="str">
            <v>LCS</v>
          </cell>
          <cell r="L18" t="str">
            <v>1T100</v>
          </cell>
          <cell r="M18"/>
          <cell r="N18" t="str">
            <v>V</v>
          </cell>
          <cell r="O18"/>
          <cell r="P18"/>
          <cell r="Q18"/>
        </row>
        <row r="19">
          <cell r="C19">
            <v>107</v>
          </cell>
          <cell r="D19"/>
          <cell r="E19"/>
          <cell r="F19"/>
          <cell r="G19"/>
          <cell r="H19" t="str">
            <v>VOL</v>
          </cell>
          <cell r="I19"/>
          <cell r="J19"/>
          <cell r="K19"/>
          <cell r="L19" t="str">
            <v>1T100</v>
          </cell>
          <cell r="M19"/>
          <cell r="N19"/>
          <cell r="O19"/>
          <cell r="P19"/>
          <cell r="Q19"/>
        </row>
        <row r="20">
          <cell r="C20">
            <v>108</v>
          </cell>
          <cell r="D20">
            <v>14</v>
          </cell>
          <cell r="E20"/>
          <cell r="F20"/>
          <cell r="G20"/>
          <cell r="H20" t="str">
            <v>VOL</v>
          </cell>
          <cell r="I20"/>
          <cell r="J20"/>
          <cell r="K20"/>
          <cell r="L20" t="str">
            <v>1T100</v>
          </cell>
          <cell r="M20"/>
          <cell r="N20"/>
          <cell r="O20"/>
          <cell r="P20"/>
          <cell r="Q20"/>
        </row>
        <row r="21">
          <cell r="C21" t="str">
            <v>V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</row>
        <row r="22">
          <cell r="C22" t="str">
            <v>V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</row>
        <row r="23">
          <cell r="C23" t="str">
            <v>V</v>
          </cell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T23"/>
          <cell r="U23">
            <v>46268</v>
          </cell>
        </row>
        <row r="24">
          <cell r="C24" t="str">
            <v>V</v>
          </cell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</row>
        <row r="25">
          <cell r="C25" t="str">
            <v>V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</row>
        <row r="26">
          <cell r="C26" t="str">
            <v>V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</row>
        <row r="27">
          <cell r="C27" t="str">
            <v>x103</v>
          </cell>
          <cell r="D27" t="str">
            <v>EXT</v>
          </cell>
          <cell r="E27" t="str">
            <v>X</v>
          </cell>
          <cell r="F27" t="str">
            <v>X</v>
          </cell>
          <cell r="G27"/>
          <cell r="H27"/>
          <cell r="I27"/>
          <cell r="J27" t="str">
            <v>I</v>
          </cell>
          <cell r="K27"/>
          <cell r="L27" t="str">
            <v>INC</v>
          </cell>
          <cell r="N27"/>
          <cell r="O27" t="str">
            <v>VOLETS CAZAUX</v>
          </cell>
          <cell r="P27"/>
        </row>
        <row r="28">
          <cell r="C28" t="str">
            <v>x105</v>
          </cell>
          <cell r="D28" t="str">
            <v>C7</v>
          </cell>
          <cell r="E28" t="str">
            <v>X</v>
          </cell>
          <cell r="F28"/>
          <cell r="G28"/>
          <cell r="H28"/>
          <cell r="I28"/>
          <cell r="J28" t="str">
            <v>I</v>
          </cell>
          <cell r="K28" t="str">
            <v>I</v>
          </cell>
          <cell r="L28" t="str">
            <v>1T100</v>
          </cell>
          <cell r="N28" t="str">
            <v>V</v>
          </cell>
          <cell r="O28" t="str">
            <v>fuite Vérin relevage Taux // ATTENTE B1</v>
          </cell>
          <cell r="P28"/>
        </row>
        <row r="29">
          <cell r="C29" t="str">
            <v>x85</v>
          </cell>
          <cell r="D29" t="str">
            <v>D8</v>
          </cell>
          <cell r="E29" t="str">
            <v>X</v>
          </cell>
          <cell r="F29" t="str">
            <v>X</v>
          </cell>
          <cell r="G29"/>
          <cell r="H29"/>
          <cell r="I29"/>
          <cell r="J29" t="str">
            <v>I</v>
          </cell>
          <cell r="K29" t="str">
            <v>I</v>
          </cell>
          <cell r="L29" t="str">
            <v>INC</v>
          </cell>
          <cell r="O29" t="str">
            <v>JAUGEUR RH + ENTREE B2 LE 17/08</v>
          </cell>
          <cell r="P29"/>
        </row>
        <row r="30">
          <cell r="C30" t="str">
            <v>x92</v>
          </cell>
          <cell r="D30" t="str">
            <v>C8</v>
          </cell>
          <cell r="E30" t="str">
            <v>X</v>
          </cell>
          <cell r="F30" t="str">
            <v>X</v>
          </cell>
          <cell r="G30"/>
          <cell r="H30"/>
          <cell r="I30"/>
          <cell r="J30" t="str">
            <v>I</v>
          </cell>
          <cell r="K30" t="str">
            <v>I</v>
          </cell>
          <cell r="L30" t="str">
            <v>1T100</v>
          </cell>
          <cell r="O30" t="str">
            <v>ATTENTE ENTREE IREF1</v>
          </cell>
          <cell r="P30"/>
        </row>
        <row r="31">
          <cell r="C31" t="str">
            <v>x98</v>
          </cell>
          <cell r="D31" t="str">
            <v>D3</v>
          </cell>
          <cell r="E31" t="str">
            <v>X</v>
          </cell>
          <cell r="F31" t="str">
            <v>X</v>
          </cell>
          <cell r="G31"/>
          <cell r="H31"/>
          <cell r="I31"/>
          <cell r="J31" t="str">
            <v>I</v>
          </cell>
          <cell r="K31" t="str">
            <v>I</v>
          </cell>
          <cell r="L31" t="str">
            <v>INC</v>
          </cell>
          <cell r="O31" t="str">
            <v>ENTREE IREF 13/04</v>
          </cell>
          <cell r="P31"/>
        </row>
      </sheetData>
      <sheetData sheetId="1">
        <row r="7">
          <cell r="B7" t="str">
            <v>BA 65</v>
          </cell>
        </row>
        <row r="8">
          <cell r="B8" t="str">
            <v>BB 67</v>
          </cell>
        </row>
        <row r="9">
          <cell r="B9" t="str">
            <v>BC 68</v>
          </cell>
        </row>
        <row r="10">
          <cell r="B10" t="str">
            <v>YA 72</v>
          </cell>
        </row>
        <row r="11">
          <cell r="B11" t="str">
            <v>BF 74</v>
          </cell>
        </row>
        <row r="12">
          <cell r="B12" t="str">
            <v>YE 78</v>
          </cell>
        </row>
        <row r="13">
          <cell r="B13" t="str">
            <v>BI 81</v>
          </cell>
        </row>
        <row r="14">
          <cell r="B14" t="str">
            <v>YG 82</v>
          </cell>
        </row>
        <row r="15">
          <cell r="B15" t="str">
            <v>ZE 83</v>
          </cell>
        </row>
        <row r="16">
          <cell r="B16" t="str">
            <v>YI 86</v>
          </cell>
        </row>
        <row r="17">
          <cell r="B17" t="str">
            <v>BK 87</v>
          </cell>
        </row>
        <row r="18">
          <cell r="B18" t="str">
            <v>ZF 90</v>
          </cell>
        </row>
        <row r="19">
          <cell r="B19" t="str">
            <v>YV 107</v>
          </cell>
        </row>
        <row r="20">
          <cell r="B20" t="str">
            <v>YW 108</v>
          </cell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26">
          <cell r="B26"/>
        </row>
        <row r="27">
          <cell r="B27" t="str">
            <v>YT 103</v>
          </cell>
        </row>
        <row r="28">
          <cell r="B28" t="str">
            <v>YU 105</v>
          </cell>
        </row>
        <row r="29">
          <cell r="B29" t="str">
            <v>BJ 85</v>
          </cell>
        </row>
        <row r="30">
          <cell r="B30" t="str">
            <v>YL 92</v>
          </cell>
        </row>
        <row r="31">
          <cell r="B31" t="str">
            <v>YO 98</v>
          </cell>
        </row>
      </sheetData>
      <sheetData sheetId="2">
        <row r="59">
          <cell r="B59" t="str">
            <v>B6</v>
          </cell>
          <cell r="C59">
            <v>96</v>
          </cell>
        </row>
        <row r="60">
          <cell r="B60" t="str">
            <v>B3</v>
          </cell>
          <cell r="C60">
            <v>54</v>
          </cell>
        </row>
        <row r="61">
          <cell r="B61" t="str">
            <v>B5</v>
          </cell>
          <cell r="C61">
            <v>79</v>
          </cell>
        </row>
        <row r="62">
          <cell r="B62" t="str">
            <v>B4</v>
          </cell>
          <cell r="C62"/>
        </row>
        <row r="63">
          <cell r="B63" t="str">
            <v>B7</v>
          </cell>
          <cell r="C63">
            <v>91</v>
          </cell>
        </row>
        <row r="64">
          <cell r="B64" t="str">
            <v>B8</v>
          </cell>
          <cell r="C64">
            <v>102</v>
          </cell>
        </row>
        <row r="65">
          <cell r="B65" t="str">
            <v>B9</v>
          </cell>
          <cell r="C65">
            <v>66</v>
          </cell>
        </row>
        <row r="66">
          <cell r="B66" t="str">
            <v>B10</v>
          </cell>
          <cell r="C66">
            <v>75</v>
          </cell>
        </row>
        <row r="67">
          <cell r="B67" t="str">
            <v>C1</v>
          </cell>
          <cell r="C67"/>
        </row>
        <row r="68">
          <cell r="B68" t="str">
            <v>C2</v>
          </cell>
          <cell r="C68"/>
        </row>
        <row r="69">
          <cell r="B69" t="str">
            <v>C3</v>
          </cell>
          <cell r="C69"/>
        </row>
        <row r="70">
          <cell r="B70" t="str">
            <v>C4</v>
          </cell>
          <cell r="C70"/>
        </row>
        <row r="71">
          <cell r="B71" t="str">
            <v>C6</v>
          </cell>
          <cell r="C71"/>
        </row>
        <row r="72">
          <cell r="B72" t="str">
            <v>C8</v>
          </cell>
          <cell r="C72"/>
        </row>
        <row r="73">
          <cell r="B73" t="str">
            <v>D1</v>
          </cell>
          <cell r="C73"/>
        </row>
        <row r="74">
          <cell r="B74" t="str">
            <v>D9</v>
          </cell>
          <cell r="C74"/>
        </row>
        <row r="75">
          <cell r="B75" t="str">
            <v>D4</v>
          </cell>
          <cell r="C75"/>
        </row>
        <row r="76">
          <cell r="B76" t="str">
            <v>D3</v>
          </cell>
          <cell r="C76"/>
        </row>
        <row r="77">
          <cell r="B77" t="str">
            <v>D7</v>
          </cell>
          <cell r="C77"/>
        </row>
        <row r="78">
          <cell r="B78" t="str">
            <v>D8</v>
          </cell>
          <cell r="C78"/>
        </row>
      </sheetData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7:Q31" headerRowCount="0" totalsRowShown="0" headerRowDxfId="57" headerRowBorderDxfId="56" tableBorderDxfId="55">
  <sortState xmlns:xlrd2="http://schemas.microsoft.com/office/spreadsheetml/2017/richdata2" ref="B7:H27">
    <sortCondition descending="1" ref="B4:B25"/>
  </sortState>
  <tableColumns count="16">
    <tableColumn id="1" xr3:uid="{00000000-0010-0000-0000-000001000000}" name="AVION" headerRowDxfId="54" dataDxfId="53">
      <calculatedColumnFormula>IF([4]Gestion!$B$7:$B$31="","",[4]Gestion!$B$7:$B$31)</calculatedColumnFormula>
    </tableColumn>
    <tableColumn id="14" xr3:uid="{00000000-0010-0000-0000-00000E000000}" name="Colonne4" headerRowDxfId="52" dataDxfId="51">
      <calculatedColumnFormula>IF([4]Situation!$C$7:$C$31="","",[4]Situation!$C$7:$C$31)</calculatedColumnFormula>
    </tableColumn>
    <tableColumn id="16" xr3:uid="{00000000-0010-0000-0000-000010000000}" name="Colonne6" headerRowDxfId="50" dataDxfId="49">
      <calculatedColumnFormula>IF([4]Situation!$D$7:$D$31="","",[4]Situation!$D$7:$D$31)</calculatedColumnFormula>
    </tableColumn>
    <tableColumn id="11" xr3:uid="{00000000-0010-0000-0000-00000B000000}" name="Colonne1" headerRowDxfId="48" dataDxfId="47">
      <calculatedColumnFormula>IF([4]Situation!$E$7:$E$31="","",[4]Situation!$E$7:$E$31)</calculatedColumnFormula>
    </tableColumn>
    <tableColumn id="2" xr3:uid="{00000000-0010-0000-0000-000002000000}" name="Campement" headerRowDxfId="46" dataDxfId="45">
      <calculatedColumnFormula>IF([4]Situation!$F$7:$F$31="","",[4]Situation!$F$7:$F$31)</calculatedColumnFormula>
    </tableColumn>
    <tableColumn id="3" xr3:uid="{00000000-0010-0000-0000-000003000000}" name="MATIN" headerRowDxfId="44" dataDxfId="43">
      <calculatedColumnFormula>IF([4]Situation!$G$7:$G$31="","",[4]Situation!$G$7:$G$31)</calculatedColumnFormula>
    </tableColumn>
    <tableColumn id="4" xr3:uid="{00000000-0010-0000-0000-000004000000}" name="A/M" headerRowDxfId="42" dataDxfId="41">
      <calculatedColumnFormula>IF([4]Situation!$H$7:$H$31="","",[4]Situation!$H$7:$H$31)</calculatedColumnFormula>
    </tableColumn>
    <tableColumn id="5" xr3:uid="{00000000-0010-0000-0000-000005000000}" name="SOIR" headerRowDxfId="40" dataDxfId="39">
      <calculatedColumnFormula>IF([4]Situation!$I$7:$I$31="","",[4]Situation!$I$7:$I$31)</calculatedColumnFormula>
    </tableColumn>
    <tableColumn id="6" xr3:uid="{00000000-0010-0000-0000-000006000000}" name="21" headerRowDxfId="38" dataDxfId="37">
      <calculatedColumnFormula>IF([4]Situation!$J$7:$J$31="","",[4]Situation!$J$7:$J$31)</calculatedColumnFormula>
    </tableColumn>
    <tableColumn id="7" xr3:uid="{00000000-0010-0000-0000-000007000000}" name="22" headerRowDxfId="36" dataDxfId="35">
      <calculatedColumnFormula>IF([4]Situation!$K$7:$K$31="","",[4]Situation!$K$7:$K$31)</calculatedColumnFormula>
    </tableColumn>
    <tableColumn id="8" xr3:uid="{00000000-0010-0000-0000-000008000000}" name="PLEIN" headerRowDxfId="34" dataDxfId="33">
      <calculatedColumnFormula>IF([4]Situation!$L$7:$L$31="","",[4]Situation!$L$7:$L$31)</calculatedColumnFormula>
    </tableColumn>
    <tableColumn id="12" xr3:uid="{00000000-0010-0000-0000-00000C000000}" name="Colonne2" headerRowDxfId="32" dataDxfId="31">
      <calculatedColumnFormula>IF([4]Situation!$M$7:$M$26="","",[4]Situation!$M$7:$M$26)</calculatedColumnFormula>
    </tableColumn>
    <tableColumn id="13" xr3:uid="{00000000-0010-0000-0000-00000D000000}" name="Colonne3" headerRowDxfId="30" dataDxfId="29">
      <calculatedColumnFormula>IF([4]Situation!$N$7:$N$28="","",[4]Situation!$N$7:$N$28)</calculatedColumnFormula>
    </tableColumn>
    <tableColumn id="9" xr3:uid="{00000000-0010-0000-0000-000009000000}" name="OBSERVATIONS" headerRowDxfId="28" dataDxfId="27">
      <calculatedColumnFormula>IF([4]Situation!$O$7:$O$31="","",[4]Situation!$O$7:$O$31)</calculatedColumnFormula>
    </tableColumn>
    <tableColumn id="10" xr3:uid="{00000000-0010-0000-0000-00000A000000}" name="Mise à Jour_x000a_FDS/GPS" headerRowDxfId="26" dataDxfId="25">
      <calculatedColumnFormula>IF([4]Situation!$P$7:$P$31="","",[4]Situation!$P$7:$P$31)</calculatedColumnFormula>
    </tableColumn>
    <tableColumn id="15" xr3:uid="{00000000-0010-0000-0000-00000F000000}" name="Colonne5" headerRowDxfId="24" dataDxfId="23">
      <calculatedColumnFormula>IF([4]Situation!$Q$7:$Q$26="","",[4]Situation!$Q$7:$Q$26)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S63"/>
  <sheetViews>
    <sheetView showGridLines="0" showRowColHeaders="0" tabSelected="1" topLeftCell="A2" zoomScale="62" zoomScaleNormal="62" workbookViewId="0">
      <selection sqref="A1:Z1"/>
    </sheetView>
  </sheetViews>
  <sheetFormatPr baseColWidth="10" defaultColWidth="9.140625" defaultRowHeight="15" x14ac:dyDescent="0.25"/>
  <cols>
    <col min="1" max="1" width="3.7109375" customWidth="1"/>
    <col min="2" max="2" width="18.7109375" style="24" customWidth="1"/>
    <col min="3" max="3" width="13.28515625" hidden="1" customWidth="1"/>
    <col min="4" max="4" width="8.7109375" customWidth="1"/>
    <col min="5" max="5" width="8" customWidth="1"/>
    <col min="6" max="6" width="9.140625" customWidth="1"/>
    <col min="7" max="9" width="8.42578125" customWidth="1"/>
    <col min="10" max="11" width="6.7109375" customWidth="1"/>
    <col min="12" max="12" width="14.7109375" customWidth="1"/>
    <col min="13" max="13" width="9.140625" hidden="1" customWidth="1"/>
    <col min="14" max="14" width="4.42578125" hidden="1" customWidth="1"/>
    <col min="15" max="15" width="43" customWidth="1"/>
    <col min="16" max="16" width="14.28515625" customWidth="1"/>
    <col min="17" max="17" width="9.140625" hidden="1" customWidth="1"/>
    <col min="18" max="18" width="18" customWidth="1"/>
  </cols>
  <sheetData>
    <row r="1" spans="1:19" ht="7.5" hidden="1" customHeight="1" x14ac:dyDescent="0.25">
      <c r="A1" s="13"/>
      <c r="B1" s="22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19" ht="28.5" customHeight="1" x14ac:dyDescent="0.5">
      <c r="A2" s="58"/>
      <c r="B2" s="23"/>
      <c r="C2" s="13"/>
      <c r="D2" s="13"/>
      <c r="E2" s="13"/>
      <c r="F2" s="42"/>
      <c r="G2" s="13"/>
      <c r="H2" s="13"/>
      <c r="I2" s="13"/>
      <c r="J2" s="13"/>
      <c r="K2" s="13"/>
      <c r="L2" s="142">
        <f ca="1">NOW()</f>
        <v>46260.457173842595</v>
      </c>
      <c r="M2" s="142"/>
      <c r="N2" s="142"/>
      <c r="O2" s="142"/>
      <c r="P2" s="142"/>
      <c r="Q2" s="13"/>
      <c r="R2" s="13"/>
      <c r="S2" s="13"/>
    </row>
    <row r="3" spans="1:19" ht="28.5" customHeight="1" x14ac:dyDescent="0.5">
      <c r="A3" s="13"/>
      <c r="B3" s="23"/>
      <c r="C3" s="13"/>
      <c r="D3" s="13"/>
      <c r="E3" s="141"/>
      <c r="F3" s="141"/>
      <c r="G3" s="141"/>
      <c r="H3" s="141"/>
      <c r="I3" s="141"/>
      <c r="J3" s="141"/>
      <c r="K3" s="13"/>
      <c r="L3" s="59"/>
      <c r="M3" s="59"/>
      <c r="N3" s="59"/>
      <c r="O3" s="145" t="str">
        <f ca="1">CONCATENATE("Quantième: ",TEXT(TODAY()-DATE(YEAR(TODAY())-1,12,31),"000"))</f>
        <v>Quantième: 238</v>
      </c>
      <c r="P3" s="145"/>
      <c r="Q3" s="13"/>
      <c r="R3" s="13"/>
      <c r="S3" s="13"/>
    </row>
    <row r="4" spans="1:19" ht="39.950000000000003" customHeight="1" x14ac:dyDescent="0.7">
      <c r="A4" s="13"/>
      <c r="B4" s="2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58">
        <v>0.6088541666666667</v>
      </c>
      <c r="O4" s="143" t="s">
        <v>56</v>
      </c>
      <c r="P4" s="144"/>
      <c r="Q4" s="13"/>
      <c r="R4" s="13"/>
      <c r="S4" s="13"/>
    </row>
    <row r="5" spans="1:19" ht="162.94999999999999" customHeight="1" thickBot="1" x14ac:dyDescent="0.3">
      <c r="A5" s="13"/>
      <c r="B5" s="2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</row>
    <row r="6" spans="1:19" ht="42.75" customHeight="1" thickTop="1" thickBot="1" x14ac:dyDescent="0.3">
      <c r="A6" s="13"/>
      <c r="B6" s="15" t="s">
        <v>0</v>
      </c>
      <c r="C6" s="16" t="s">
        <v>1</v>
      </c>
      <c r="D6" s="16" t="s">
        <v>9</v>
      </c>
      <c r="E6" s="16" t="s">
        <v>1</v>
      </c>
      <c r="F6" s="132" t="s">
        <v>2</v>
      </c>
      <c r="G6" s="134" t="s">
        <v>51</v>
      </c>
      <c r="H6" s="136" t="s">
        <v>52</v>
      </c>
      <c r="I6" s="135" t="s">
        <v>53</v>
      </c>
      <c r="J6" s="134" t="s">
        <v>54</v>
      </c>
      <c r="K6" s="135" t="s">
        <v>55</v>
      </c>
      <c r="L6" s="133" t="s">
        <v>7</v>
      </c>
      <c r="M6" s="16" t="s">
        <v>3</v>
      </c>
      <c r="N6" s="16" t="s">
        <v>4</v>
      </c>
      <c r="O6" s="16" t="s">
        <v>6</v>
      </c>
      <c r="P6" s="17" t="s">
        <v>8</v>
      </c>
      <c r="Q6" s="18" t="s">
        <v>5</v>
      </c>
      <c r="R6" s="13"/>
      <c r="S6" s="13"/>
    </row>
    <row r="7" spans="1:19" ht="50.1" customHeight="1" thickTop="1" x14ac:dyDescent="0.25">
      <c r="A7" s="13"/>
      <c r="B7" s="68" t="str">
        <f>IF([1]Gestion!$B$7:$B$31="","",[1]Gestion!$B$7:$B$31)</f>
        <v>BA 65</v>
      </c>
      <c r="C7" s="118">
        <f>IF([1]Situation!$C$7:$C$31="","",[1]Situation!$C$7:$C$31)</f>
        <v>65</v>
      </c>
      <c r="D7" s="69" t="str">
        <f>IF([1]Situation!$D$7:$D$31="","",[1]Situation!$D$7:$D$31)</f>
        <v xml:space="preserve"> EXT</v>
      </c>
      <c r="E7" s="70" t="str">
        <f>IF([1]Situation!$E$7:$E$31="","",[1]Situation!$E$7:$E$31)</f>
        <v>X</v>
      </c>
      <c r="F7" s="71" t="str">
        <f>IF([1]Situation!$F$7:$F$31="","",[1]Situation!$F$7:$F$31)</f>
        <v>X</v>
      </c>
      <c r="G7" s="72" t="str">
        <f>IF([1]Situation!$G$7:$G$31="","",[1]Situation!$G$7:$G$31)</f>
        <v/>
      </c>
      <c r="H7" s="73" t="str">
        <f>IF([1]Situation!$H$7:$H$31="","",[1]Situation!$H$7:$H$31)</f>
        <v/>
      </c>
      <c r="I7" s="74" t="str">
        <f>IF([1]Situation!$I$7:$I$31="","",[1]Situation!$I$7:$I$31)</f>
        <v/>
      </c>
      <c r="J7" s="75" t="str">
        <f>IF([1]Situation!$J$7:$J$31="","",[1]Situation!$J$7:$J$31)</f>
        <v/>
      </c>
      <c r="K7" s="76" t="str">
        <f>IF([1]Situation!$K$7:$K$31="","",[1]Situation!$K$7:$K$31)</f>
        <v/>
      </c>
      <c r="L7" s="77" t="str">
        <f>IF([1]Situation!$L$7:$L$31="","",[1]Situation!$L$7:$L$31)</f>
        <v>INC</v>
      </c>
      <c r="M7" s="78" t="str">
        <f>IF([1]Situation!$M$7:$M$26="","",[1]Situation!$M$7:$M$26)</f>
        <v/>
      </c>
      <c r="N7" s="78" t="str">
        <f>IF([1]Situation!$N$7:$N$28="","",[1]Situation!$N$7:$N$28)</f>
        <v/>
      </c>
      <c r="O7" s="131" t="str">
        <f>IF([1]Situation!$O$7:$O$31="","",[1]Situation!$O$7:$O$31)</f>
        <v>DISPO BIARRITZ // plein 02 + PPV</v>
      </c>
      <c r="P7" s="79" t="str">
        <f>IF([1]Situation!$P$7:$P$31="","",[1]Situation!$P$7:$P$31)</f>
        <v/>
      </c>
      <c r="Q7" s="14" t="str">
        <f>IF([1]Situation!$Q$7:$Q$26="","",[1]Situation!$Q$7:$Q$26)</f>
        <v/>
      </c>
      <c r="R7" s="13"/>
      <c r="S7" s="13"/>
    </row>
    <row r="8" spans="1:19" ht="50.1" customHeight="1" x14ac:dyDescent="0.25">
      <c r="A8" s="13"/>
      <c r="B8" s="80" t="str">
        <f>IF([1]Gestion!$B$7:$B$31="","",[1]Gestion!$B$7:$B$31)</f>
        <v>BB 67</v>
      </c>
      <c r="C8" s="119">
        <f>IF([1]Situation!$C$7:$C$31="","",[1]Situation!$C$7:$C$31)</f>
        <v>67</v>
      </c>
      <c r="D8" s="81" t="str">
        <f>IF([1]Situation!$D$7:$D$31="","",[1]Situation!$D$7:$D$31)</f>
        <v/>
      </c>
      <c r="E8" s="82" t="str">
        <f>IF([1]Situation!$E$7:$E$31="","",[1]Situation!$E$7:$E$31)</f>
        <v/>
      </c>
      <c r="F8" s="83" t="str">
        <f>IF([1]Situation!$F$7:$F$31="","",[1]Situation!$F$7:$F$31)</f>
        <v/>
      </c>
      <c r="G8" s="84" t="str">
        <f>IF([1]Situation!$G$7:$G$31="","",[1]Situation!$G$7:$G$31)</f>
        <v>VOL</v>
      </c>
      <c r="H8" s="85" t="str">
        <f>IF([1]Situation!$H$7:$H$31="","",[1]Situation!$H$7:$H$31)</f>
        <v>EXT</v>
      </c>
      <c r="I8" s="86" t="str">
        <f>IF([1]Situation!$I$7:$I$31="","",[1]Situation!$I$7:$I$31)</f>
        <v/>
      </c>
      <c r="J8" s="87" t="str">
        <f>IF([1]Situation!$J$7:$J$31="","",[1]Situation!$J$7:$J$31)</f>
        <v/>
      </c>
      <c r="K8" s="88" t="str">
        <f>IF([1]Situation!$K$7:$K$31="","",[1]Situation!$K$7:$K$31)</f>
        <v/>
      </c>
      <c r="L8" s="89" t="str">
        <f>IF([1]Situation!$L$7:$L$31="","",[1]Situation!$L$7:$L$31)</f>
        <v>1T100</v>
      </c>
      <c r="M8" s="48" t="str">
        <f>IF([1]Situation!$M$7:$M$26="","",[1]Situation!$M$7:$M$26)</f>
        <v/>
      </c>
      <c r="N8" s="48" t="str">
        <f>IF([1]Situation!$N$7:$N$28="","",[1]Situation!$N$7:$N$28)</f>
        <v/>
      </c>
      <c r="O8" s="130" t="str">
        <f>IF([1]Situation!$O$7:$O$31="","",[1]Situation!$O$7:$O$31)</f>
        <v/>
      </c>
      <c r="P8" s="90" t="str">
        <f>IF([1]Situation!$P$7:$P$31="","",[1]Situation!$P$7:$P$31)</f>
        <v>+3 D</v>
      </c>
      <c r="Q8" s="14" t="str">
        <f>IF([1]Situation!$Q$7:$Q$26="","",[1]Situation!$Q$7:$Q$26)</f>
        <v>V</v>
      </c>
      <c r="R8" s="13"/>
      <c r="S8" s="13"/>
    </row>
    <row r="9" spans="1:19" ht="50.1" customHeight="1" x14ac:dyDescent="0.25">
      <c r="A9" s="13"/>
      <c r="B9" s="80" t="str">
        <f>IF([1]Gestion!$B$7:$B$31="","",[1]Gestion!$B$7:$B$31)</f>
        <v>BC 68</v>
      </c>
      <c r="C9" s="119">
        <f>IF([1]Situation!$C$7:$C$31="","",[1]Situation!$C$7:$C$31)</f>
        <v>68</v>
      </c>
      <c r="D9" s="81">
        <f>IF([1]Situation!$D$7:$D$31="","",[1]Situation!$D$7:$D$31)</f>
        <v>12</v>
      </c>
      <c r="E9" s="82" t="str">
        <f>IF([1]Situation!$E$7:$E$31="","",[1]Situation!$E$7:$E$31)</f>
        <v/>
      </c>
      <c r="F9" s="83" t="str">
        <f>IF([1]Situation!$F$7:$F$31="","",[1]Situation!$F$7:$F$31)</f>
        <v/>
      </c>
      <c r="G9" s="84" t="str">
        <f>IF([1]Situation!$G$7:$G$31="","",[1]Situation!$G$7:$G$31)</f>
        <v/>
      </c>
      <c r="H9" s="85" t="str">
        <f>IF([1]Situation!$H$7:$H$31="","",[1]Situation!$H$7:$H$31)</f>
        <v>VOL</v>
      </c>
      <c r="I9" s="86" t="str">
        <f>IF([1]Situation!$I$7:$I$31="","",[1]Situation!$I$7:$I$31)</f>
        <v/>
      </c>
      <c r="J9" s="87" t="str">
        <f>IF([1]Situation!$J$7:$J$31="","",[1]Situation!$J$7:$J$31)</f>
        <v/>
      </c>
      <c r="K9" s="88" t="str">
        <f>IF([1]Situation!$K$7:$K$31="","",[1]Situation!$K$7:$K$31)</f>
        <v/>
      </c>
      <c r="L9" s="89" t="str">
        <f>IF([1]Situation!$L$7:$L$31="","",[1]Situation!$L$7:$L$31)</f>
        <v>1T100</v>
      </c>
      <c r="M9" s="48" t="str">
        <f>IF([1]Situation!$M$7:$M$26="","",[1]Situation!$M$7:$M$26)</f>
        <v/>
      </c>
      <c r="N9" s="48" t="str">
        <f>IF([1]Situation!$N$7:$N$28="","",[1]Situation!$N$7:$N$28)</f>
        <v/>
      </c>
      <c r="O9" s="130" t="str">
        <f>IF([1]Situation!$O$7:$O$31="","",[1]Situation!$O$7:$O$31)</f>
        <v/>
      </c>
      <c r="P9" s="90" t="str">
        <f>IF([1]Situation!$P$7:$P$31="","",[1]Situation!$P$7:$P$31)</f>
        <v/>
      </c>
      <c r="Q9" s="14" t="str">
        <f>IF([1]Situation!$Q$7:$Q$26="","",[1]Situation!$Q$7:$Q$26)</f>
        <v/>
      </c>
      <c r="R9" s="13"/>
      <c r="S9" s="13"/>
    </row>
    <row r="10" spans="1:19" ht="50.1" customHeight="1" x14ac:dyDescent="0.25">
      <c r="A10" s="13"/>
      <c r="B10" s="80" t="str">
        <f>IF([1]Gestion!$B$7:$B$31="","",[1]Gestion!$B$7:$B$31)</f>
        <v>YA 72</v>
      </c>
      <c r="C10" s="119">
        <f>IF([1]Situation!$C$7:$C$31="","",[1]Situation!$C$7:$C$31)</f>
        <v>72</v>
      </c>
      <c r="D10" s="81" t="str">
        <f>IF([1]Situation!$D$7:$D$31="","",[1]Situation!$D$7:$D$31)</f>
        <v/>
      </c>
      <c r="E10" s="82" t="str">
        <f>IF([1]Situation!$E$7:$E$31="","",[1]Situation!$E$7:$E$31)</f>
        <v/>
      </c>
      <c r="F10" s="83" t="str">
        <f>IF([1]Situation!$F$7:$F$31="","",[1]Situation!$F$7:$F$31)</f>
        <v/>
      </c>
      <c r="G10" s="84" t="str">
        <f>IF([1]Situation!$G$7:$G$31="","",[1]Situation!$G$7:$G$31)</f>
        <v/>
      </c>
      <c r="H10" s="85" t="str">
        <f>IF([1]Situation!$H$7:$H$31="","",[1]Situation!$H$7:$H$31)</f>
        <v>VOL</v>
      </c>
      <c r="I10" s="86" t="str">
        <f>IF([1]Situation!$I$7:$I$31="","",[1]Situation!$I$7:$I$31)</f>
        <v/>
      </c>
      <c r="J10" s="87" t="str">
        <f>IF([1]Situation!$J$7:$J$31="","",[1]Situation!$J$7:$J$31)</f>
        <v/>
      </c>
      <c r="K10" s="88" t="str">
        <f>IF([1]Situation!$K$7:$K$31="","",[1]Situation!$K$7:$K$31)</f>
        <v/>
      </c>
      <c r="L10" s="89" t="str">
        <f>IF([1]Situation!$L$7:$L$31="","",[1]Situation!$L$7:$L$31)</f>
        <v>1T100</v>
      </c>
      <c r="M10" s="48" t="str">
        <f>IF([1]Situation!$M$7:$M$26="","",[1]Situation!$M$7:$M$26)</f>
        <v/>
      </c>
      <c r="N10" s="48" t="str">
        <f>IF([1]Situation!$N$7:$N$28="","",[1]Situation!$N$7:$N$28)</f>
        <v/>
      </c>
      <c r="O10" s="130" t="str">
        <f>IF([1]Situation!$O$7:$O$31="","",[1]Situation!$O$7:$O$31)</f>
        <v/>
      </c>
      <c r="P10" s="90" t="str">
        <f>IF([1]Situation!$P$7:$P$31="","",[1]Situation!$P$7:$P$31)</f>
        <v/>
      </c>
      <c r="Q10" s="14" t="str">
        <f>IF([1]Situation!$Q$7:$Q$26="","",[1]Situation!$Q$7:$Q$26)</f>
        <v/>
      </c>
      <c r="R10" s="13"/>
      <c r="S10" s="13"/>
    </row>
    <row r="11" spans="1:19" ht="50.1" customHeight="1" x14ac:dyDescent="0.25">
      <c r="A11" s="13"/>
      <c r="B11" s="80" t="str">
        <f>IF([1]Gestion!$B$7:$B$31="","",[1]Gestion!$B$7:$B$31)</f>
        <v>BF 74</v>
      </c>
      <c r="C11" s="119">
        <f>IF([1]Situation!$C$7:$C$31="","",[1]Situation!$C$7:$C$31)</f>
        <v>74</v>
      </c>
      <c r="D11" s="81" t="str">
        <f>IF([1]Situation!$D$7:$D$31="","",[1]Situation!$D$7:$D$31)</f>
        <v>C2</v>
      </c>
      <c r="E11" s="82" t="str">
        <f>IF([1]Situation!$E$7:$E$31="","",[1]Situation!$E$7:$E$31)</f>
        <v>X</v>
      </c>
      <c r="F11" s="83" t="str">
        <f>IF([1]Situation!$F$7:$F$31="","",[1]Situation!$F$7:$F$31)</f>
        <v/>
      </c>
      <c r="G11" s="84" t="str">
        <f>IF([1]Situation!$G$7:$G$31="","",[1]Situation!$G$7:$G$31)</f>
        <v>RESA</v>
      </c>
      <c r="H11" s="85" t="str">
        <f>IF([1]Situation!$H$7:$H$31="","",[1]Situation!$H$7:$H$31)</f>
        <v/>
      </c>
      <c r="I11" s="86" t="str">
        <f>IF([1]Situation!$I$7:$I$31="","",[1]Situation!$I$7:$I$31)</f>
        <v/>
      </c>
      <c r="J11" s="87" t="str">
        <f>IF([1]Situation!$J$7:$J$31="","",[1]Situation!$J$7:$J$31)</f>
        <v/>
      </c>
      <c r="K11" s="88" t="str">
        <f>IF([1]Situation!$K$7:$K$31="","",[1]Situation!$K$7:$K$31)</f>
        <v/>
      </c>
      <c r="L11" s="89" t="str">
        <f>IF([1]Situation!$L$7:$L$31="","",[1]Situation!$L$7:$L$31)</f>
        <v>1T100</v>
      </c>
      <c r="M11" s="48" t="str">
        <f>IF([1]Situation!$M$7:$M$26="","",[1]Situation!$M$7:$M$26)</f>
        <v/>
      </c>
      <c r="N11" s="48" t="str">
        <f>IF([1]Situation!$N$7:$N$28="","",[1]Situation!$N$7:$N$28)</f>
        <v>V</v>
      </c>
      <c r="O11" s="130" t="str">
        <f>IF([1]Situation!$O$7:$O$31="","",[1]Situation!$O$7:$O$31)</f>
        <v/>
      </c>
      <c r="P11" s="90" t="str">
        <f>IF([1]Situation!$P$7:$P$31="","",[1]Situation!$P$7:$P$31)</f>
        <v/>
      </c>
      <c r="Q11" s="14" t="str">
        <f>IF([1]Situation!$Q$7:$Q$26="","",[1]Situation!$Q$7:$Q$26)</f>
        <v/>
      </c>
      <c r="R11" s="13"/>
      <c r="S11" s="13"/>
    </row>
    <row r="12" spans="1:19" ht="50.1" customHeight="1" x14ac:dyDescent="0.25">
      <c r="A12" s="13"/>
      <c r="B12" s="80" t="str">
        <f>IF([1]Gestion!$B$7:$B$31="","",[1]Gestion!$B$7:$B$31)</f>
        <v>YE 78</v>
      </c>
      <c r="C12" s="119">
        <f>IF([1]Situation!$C$7:$C$31="","",[1]Situation!$C$7:$C$31)</f>
        <v>78</v>
      </c>
      <c r="D12" s="81" t="str">
        <f>IF([1]Situation!$D$7:$D$31="","",[1]Situation!$D$7:$D$31)</f>
        <v/>
      </c>
      <c r="E12" s="82" t="str">
        <f>IF([1]Situation!$E$7:$E$31="","",[1]Situation!$E$7:$E$31)</f>
        <v/>
      </c>
      <c r="F12" s="83" t="str">
        <f>IF([1]Situation!$F$7:$F$31="","",[1]Situation!$F$7:$F$31)</f>
        <v/>
      </c>
      <c r="G12" s="84" t="str">
        <f>IF([1]Situation!$G$7:$G$31="","",[1]Situation!$G$7:$G$31)</f>
        <v/>
      </c>
      <c r="H12" s="85" t="str">
        <f>IF([1]Situation!$H$7:$H$31="","",[1]Situation!$H$7:$H$31)</f>
        <v>VOL</v>
      </c>
      <c r="I12" s="86" t="str">
        <f>IF([1]Situation!$I$7:$I$31="","",[1]Situation!$I$7:$I$31)</f>
        <v/>
      </c>
      <c r="J12" s="87" t="str">
        <f>IF([1]Situation!$J$7:$J$31="","",[1]Situation!$J$7:$J$31)</f>
        <v/>
      </c>
      <c r="K12" s="88" t="str">
        <f>IF([1]Situation!$K$7:$K$31="","",[1]Situation!$K$7:$K$31)</f>
        <v/>
      </c>
      <c r="L12" s="89" t="str">
        <f>IF([1]Situation!$L$7:$L$31="","",[1]Situation!$L$7:$L$31)</f>
        <v>1T100</v>
      </c>
      <c r="M12" s="48" t="str">
        <f>IF([1]Situation!$M$7:$M$26="","",[1]Situation!$M$7:$M$26)</f>
        <v/>
      </c>
      <c r="N12" s="48" t="str">
        <f>IF([1]Situation!$N$7:$N$28="","",[1]Situation!$N$7:$N$28)</f>
        <v/>
      </c>
      <c r="O12" s="130" t="str">
        <f>IF([1]Situation!$O$7:$O$31="","",[1]Situation!$O$7:$O$31)</f>
        <v/>
      </c>
      <c r="P12" s="90" t="str">
        <f>IF([1]Situation!$P$7:$P$31="","",[1]Situation!$P$7:$P$31)</f>
        <v/>
      </c>
      <c r="Q12" s="14" t="str">
        <f>IF([1]Situation!$Q$7:$Q$26="","",[1]Situation!$Q$7:$Q$26)</f>
        <v/>
      </c>
      <c r="R12" s="13"/>
      <c r="S12" s="13"/>
    </row>
    <row r="13" spans="1:19" ht="50.1" customHeight="1" x14ac:dyDescent="0.25">
      <c r="A13" s="13"/>
      <c r="B13" s="80" t="str">
        <f>IF([1]Gestion!$B$7:$B$31="","",[1]Gestion!$B$7:$B$31)</f>
        <v>BI 81</v>
      </c>
      <c r="C13" s="119">
        <f>IF([1]Situation!$C$7:$C$31="","",[1]Situation!$C$7:$C$31)</f>
        <v>81</v>
      </c>
      <c r="D13" s="81">
        <f>IF([1]Situation!$D$7:$D$31="","",[1]Situation!$D$7:$D$31)</f>
        <v>15</v>
      </c>
      <c r="E13" s="82" t="str">
        <f>IF([1]Situation!$E$7:$E$31="","",[1]Situation!$E$7:$E$31)</f>
        <v/>
      </c>
      <c r="F13" s="83" t="str">
        <f>IF([1]Situation!$F$7:$F$31="","",[1]Situation!$F$7:$F$31)</f>
        <v/>
      </c>
      <c r="G13" s="84" t="str">
        <f>IF([1]Situation!$G$7:$G$31="","",[1]Situation!$G$7:$G$31)</f>
        <v/>
      </c>
      <c r="H13" s="85" t="str">
        <f>IF([1]Situation!$H$7:$H$31="","",[1]Situation!$H$7:$H$31)</f>
        <v>APV SPARE</v>
      </c>
      <c r="I13" s="86" t="str">
        <f>IF([1]Situation!$I$7:$I$31="","",[1]Situation!$I$7:$I$31)</f>
        <v/>
      </c>
      <c r="J13" s="87" t="str">
        <f>IF([1]Situation!$J$7:$J$31="","",[1]Situation!$J$7:$J$31)</f>
        <v/>
      </c>
      <c r="K13" s="88" t="str">
        <f>IF([1]Situation!$K$7:$K$31="","",[1]Situation!$K$7:$K$31)</f>
        <v/>
      </c>
      <c r="L13" s="89" t="str">
        <f>IF([1]Situation!$L$7:$L$31="","",[1]Situation!$L$7:$L$31)</f>
        <v>1T100</v>
      </c>
      <c r="M13" s="48" t="str">
        <f>IF([1]Situation!$M$7:$M$26="","",[1]Situation!$M$7:$M$26)</f>
        <v>510/510</v>
      </c>
      <c r="N13" s="48" t="str">
        <f>IF([1]Situation!$N$7:$N$28="","",[1]Situation!$N$7:$N$28)</f>
        <v>V</v>
      </c>
      <c r="O13" s="130" t="str">
        <f>IF([1]Situation!$O$7:$O$31="","",[1]Situation!$O$7:$O$31)</f>
        <v/>
      </c>
      <c r="P13" s="90" t="str">
        <f>IF([1]Situation!$P$7:$P$31="","",[1]Situation!$P$7:$P$31)</f>
        <v/>
      </c>
      <c r="Q13" s="14" t="str">
        <f>IF([1]Situation!$Q$7:$Q$26="","",[1]Situation!$Q$7:$Q$26)</f>
        <v/>
      </c>
      <c r="R13" s="13"/>
      <c r="S13" s="13"/>
    </row>
    <row r="14" spans="1:19" ht="50.1" customHeight="1" x14ac:dyDescent="0.25">
      <c r="A14" s="13"/>
      <c r="B14" s="80" t="str">
        <f>IF([1]Gestion!$B$7:$B$31="","",[1]Gestion!$B$7:$B$31)</f>
        <v>YG 82</v>
      </c>
      <c r="C14" s="119">
        <f>IF([1]Situation!$C$7:$C$31="","",[1]Situation!$C$7:$C$31)</f>
        <v>82</v>
      </c>
      <c r="D14" s="81" t="str">
        <f>IF([1]Situation!$D$7:$D$31="","",[1]Situation!$D$7:$D$31)</f>
        <v>C3</v>
      </c>
      <c r="E14" s="82" t="str">
        <f>IF([1]Situation!$E$7:$E$31="","",[1]Situation!$E$7:$E$31)</f>
        <v/>
      </c>
      <c r="F14" s="83" t="str">
        <f>IF([1]Situation!$F$7:$F$31="","",[1]Situation!$F$7:$F$31)</f>
        <v/>
      </c>
      <c r="G14" s="84" t="str">
        <f>IF([1]Situation!$G$7:$G$31="","",[1]Situation!$G$7:$G$31)</f>
        <v/>
      </c>
      <c r="H14" s="85" t="str">
        <f>IF([1]Situation!$H$7:$H$31="","",[1]Situation!$H$7:$H$31)</f>
        <v>PPV SPARE</v>
      </c>
      <c r="I14" s="86" t="str">
        <f>IF([1]Situation!$I$7:$I$31="","",[1]Situation!$I$7:$I$31)</f>
        <v/>
      </c>
      <c r="J14" s="87" t="str">
        <f>IF([1]Situation!$J$7:$J$31="","",[1]Situation!$J$7:$J$31)</f>
        <v>MTN</v>
      </c>
      <c r="K14" s="88" t="str">
        <f>IF([1]Situation!$K$7:$K$31="","",[1]Situation!$K$7:$K$31)</f>
        <v>SPN</v>
      </c>
      <c r="L14" s="89" t="str">
        <f>IF([1]Situation!$L$7:$L$31="","",[1]Situation!$L$7:$L$31)</f>
        <v>1T100</v>
      </c>
      <c r="M14" s="48" t="str">
        <f>IF([1]Situation!$M$7:$M$26="","",[1]Situation!$M$7:$M$26)</f>
        <v/>
      </c>
      <c r="N14" s="48" t="str">
        <f>IF([1]Situation!$N$7:$N$28="","",[1]Situation!$N$7:$N$28)</f>
        <v>V</v>
      </c>
      <c r="O14" s="130" t="str">
        <f>IF([1]Situation!$O$7:$O$31="","",[1]Situation!$O$7:$O$31)</f>
        <v/>
      </c>
      <c r="P14" s="90" t="str">
        <f>IF([1]Situation!$P$7:$P$31="","",[1]Situation!$P$7:$P$31)</f>
        <v/>
      </c>
      <c r="Q14" s="14" t="str">
        <f>IF([1]Situation!$Q$7:$Q$26="","",[1]Situation!$Q$7:$Q$26)</f>
        <v/>
      </c>
      <c r="R14" s="13"/>
      <c r="S14" s="13"/>
    </row>
    <row r="15" spans="1:19" ht="50.1" customHeight="1" x14ac:dyDescent="0.25">
      <c r="A15" s="13"/>
      <c r="B15" s="80" t="str">
        <f>IF([1]Gestion!$B$7:$B$31="","",[1]Gestion!$B$7:$B$31)</f>
        <v>ZE 83</v>
      </c>
      <c r="C15" s="119">
        <f>IF([1]Situation!$C$7:$C$31="","",[1]Situation!$C$7:$C$31)</f>
        <v>83</v>
      </c>
      <c r="D15" s="81">
        <f>IF([1]Situation!$D$7:$D$31="","",[1]Situation!$D$7:$D$31)</f>
        <v>16</v>
      </c>
      <c r="E15" s="82" t="str">
        <f>IF([1]Situation!$E$7:$E$31="","",[1]Situation!$E$7:$E$31)</f>
        <v/>
      </c>
      <c r="F15" s="83" t="str">
        <f>IF([1]Situation!$F$7:$F$31="","",[1]Situation!$F$7:$F$31)</f>
        <v/>
      </c>
      <c r="G15" s="84" t="str">
        <f>IF([1]Situation!$G$7:$G$31="","",[1]Situation!$G$7:$G$31)</f>
        <v/>
      </c>
      <c r="H15" s="85" t="str">
        <f>IF([1]Situation!$H$7:$H$31="","",[1]Situation!$H$7:$H$31)</f>
        <v>VOL</v>
      </c>
      <c r="I15" s="86" t="str">
        <f>IF([1]Situation!$I$7:$I$31="","",[1]Situation!$I$7:$I$31)</f>
        <v/>
      </c>
      <c r="J15" s="87" t="str">
        <f>IF([1]Situation!$J$7:$J$31="","",[1]Situation!$J$7:$J$31)</f>
        <v/>
      </c>
      <c r="K15" s="88" t="str">
        <f>IF([1]Situation!$K$7:$K$31="","",[1]Situation!$K$7:$K$31)</f>
        <v/>
      </c>
      <c r="L15" s="89" t="str">
        <f>IF([1]Situation!$L$7:$L$31="","",[1]Situation!$L$7:$L$31)</f>
        <v>1T100</v>
      </c>
      <c r="M15" s="48" t="str">
        <f>IF([1]Situation!$M$7:$M$26="","",[1]Situation!$M$7:$M$26)</f>
        <v/>
      </c>
      <c r="N15" s="48" t="str">
        <f>IF([1]Situation!$N$7:$N$28="","",[1]Situation!$N$7:$N$28)</f>
        <v/>
      </c>
      <c r="O15" s="130" t="str">
        <f>IF([1]Situation!$O$7:$O$31="","",[1]Situation!$O$7:$O$31)</f>
        <v/>
      </c>
      <c r="P15" s="90" t="str">
        <f>IF([1]Situation!$P$7:$P$31="","",[1]Situation!$P$7:$P$31)</f>
        <v/>
      </c>
      <c r="Q15" s="14" t="str">
        <f>IF([1]Situation!$Q$7:$Q$26="","",[1]Situation!$Q$7:$Q$26)</f>
        <v/>
      </c>
      <c r="R15" s="13"/>
      <c r="S15" s="13"/>
    </row>
    <row r="16" spans="1:19" ht="50.1" customHeight="1" x14ac:dyDescent="0.25">
      <c r="A16" s="13"/>
      <c r="B16" s="80" t="str">
        <f>IF([1]Gestion!$B$7:$B$31="","",[1]Gestion!$B$7:$B$31)</f>
        <v>YI 86</v>
      </c>
      <c r="C16" s="119">
        <f>IF([1]Situation!$C$7:$C$31="","",[1]Situation!$C$7:$C$31)</f>
        <v>86</v>
      </c>
      <c r="D16" s="81">
        <f>IF([1]Situation!$D$7:$D$31="","",[1]Situation!$D$7:$D$31)</f>
        <v>10</v>
      </c>
      <c r="E16" s="82" t="str">
        <f>IF([1]Situation!$E$7:$E$31="","",[1]Situation!$E$7:$E$31)</f>
        <v/>
      </c>
      <c r="F16" s="83" t="str">
        <f>IF([1]Situation!$F$7:$F$31="","",[1]Situation!$F$7:$F$31)</f>
        <v/>
      </c>
      <c r="G16" s="84" t="str">
        <f>IF([1]Situation!$G$7:$G$31="","",[1]Situation!$G$7:$G$31)</f>
        <v/>
      </c>
      <c r="H16" s="85" t="str">
        <f>IF([1]Situation!$H$7:$H$31="","",[1]Situation!$H$7:$H$31)</f>
        <v>APV SPARE</v>
      </c>
      <c r="I16" s="86" t="str">
        <f>IF([1]Situation!$I$7:$I$31="","",[1]Situation!$I$7:$I$31)</f>
        <v/>
      </c>
      <c r="J16" s="87" t="str">
        <f>IF([1]Situation!$J$7:$J$31="","",[1]Situation!$J$7:$J$31)</f>
        <v>MTN</v>
      </c>
      <c r="K16" s="88" t="str">
        <f>IF([1]Situation!$K$7:$K$31="","",[1]Situation!$K$7:$K$31)</f>
        <v>OK</v>
      </c>
      <c r="L16" s="89" t="str">
        <f>IF([1]Situation!$L$7:$L$31="","",[1]Situation!$L$7:$L$31)</f>
        <v>1T100</v>
      </c>
      <c r="M16" s="48" t="str">
        <f>IF([1]Situation!$M$7:$M$26="","",[1]Situation!$M$7:$M$26)</f>
        <v>290/290</v>
      </c>
      <c r="N16" s="48" t="str">
        <f>IF([1]Situation!$N$7:$N$28="","",[1]Situation!$N$7:$N$28)</f>
        <v>V</v>
      </c>
      <c r="O16" s="130" t="str">
        <f>IF([1]Situation!$O$7:$O$31="","",[1]Situation!$O$7:$O$31)</f>
        <v/>
      </c>
      <c r="P16" s="90" t="str">
        <f>IF([1]Situation!$P$7:$P$31="","",[1]Situation!$P$7:$P$31)</f>
        <v/>
      </c>
      <c r="Q16" s="14" t="str">
        <f>IF([1]Situation!$Q$7:$Q$26="","",[1]Situation!$Q$7:$Q$26)</f>
        <v/>
      </c>
      <c r="R16" s="13"/>
      <c r="S16" s="13"/>
    </row>
    <row r="17" spans="1:19" ht="50.1" customHeight="1" x14ac:dyDescent="0.25">
      <c r="A17" s="13"/>
      <c r="B17" s="80" t="str">
        <f>IF([1]Gestion!$B$7:$B$31="","",[1]Gestion!$B$7:$B$31)</f>
        <v>BK 87</v>
      </c>
      <c r="C17" s="119">
        <f>IF([1]Situation!$C$7:$C$31="","",[1]Situation!$C$7:$C$31)</f>
        <v>87</v>
      </c>
      <c r="D17" s="81" t="str">
        <f>IF([1]Situation!$D$7:$D$31="","",[1]Situation!$D$7:$D$31)</f>
        <v/>
      </c>
      <c r="E17" s="82" t="str">
        <f>IF([1]Situation!$E$7:$E$31="","",[1]Situation!$E$7:$E$31)</f>
        <v/>
      </c>
      <c r="F17" s="83" t="str">
        <f>IF([1]Situation!$F$7:$F$31="","",[1]Situation!$F$7:$F$31)</f>
        <v/>
      </c>
      <c r="G17" s="84" t="str">
        <f>IF([1]Situation!$G$7:$G$31="","",[1]Situation!$G$7:$G$31)</f>
        <v/>
      </c>
      <c r="H17" s="85" t="str">
        <f>IF([1]Situation!$H$7:$H$31="","",[1]Situation!$H$7:$H$31)</f>
        <v>VOL</v>
      </c>
      <c r="I17" s="86" t="str">
        <f>IF([1]Situation!$I$7:$I$31="","",[1]Situation!$I$7:$I$31)</f>
        <v/>
      </c>
      <c r="J17" s="87" t="str">
        <f>IF([1]Situation!$J$7:$J$31="","",[1]Situation!$J$7:$J$31)</f>
        <v/>
      </c>
      <c r="K17" s="88" t="str">
        <f>IF([1]Situation!$K$7:$K$31="","",[1]Situation!$K$7:$K$31)</f>
        <v/>
      </c>
      <c r="L17" s="89" t="str">
        <f>IF([1]Situation!$L$7:$L$31="","",[1]Situation!$L$7:$L$31)</f>
        <v>1T100</v>
      </c>
      <c r="M17" s="48" t="str">
        <f>IF([1]Situation!$M$7:$M$26="","",[1]Situation!$M$7:$M$26)</f>
        <v/>
      </c>
      <c r="N17" s="48" t="str">
        <f>IF([1]Situation!$N$7:$N$28="","",[1]Situation!$N$7:$N$28)</f>
        <v/>
      </c>
      <c r="O17" s="130" t="str">
        <f>IF([1]Situation!$O$7:$O$31="","",[1]Situation!$O$7:$O$31)</f>
        <v/>
      </c>
      <c r="P17" s="90" t="str">
        <f>IF([1]Situation!$P$7:$P$31="","",[1]Situation!$P$7:$P$31)</f>
        <v/>
      </c>
      <c r="Q17" s="14" t="str">
        <f>IF([1]Situation!$Q$7:$Q$26="","",[1]Situation!$Q$7:$Q$26)</f>
        <v/>
      </c>
      <c r="R17" s="13"/>
      <c r="S17" s="13"/>
    </row>
    <row r="18" spans="1:19" ht="50.1" customHeight="1" x14ac:dyDescent="0.25">
      <c r="A18" s="13"/>
      <c r="B18" s="80" t="str">
        <f>IF([1]Gestion!$B$7:$B$31="","",[1]Gestion!$B$7:$B$31)</f>
        <v>ZF 90</v>
      </c>
      <c r="C18" s="119">
        <f>IF([1]Situation!$C$7:$C$31="","",[1]Situation!$C$7:$C$31)</f>
        <v>90</v>
      </c>
      <c r="D18" s="81">
        <f>IF([1]Situation!$D$7:$D$31="","",[1]Situation!$D$7:$D$31)</f>
        <v>8</v>
      </c>
      <c r="E18" s="82" t="str">
        <f>IF([1]Situation!$E$7:$E$31="","",[1]Situation!$E$7:$E$31)</f>
        <v/>
      </c>
      <c r="F18" s="83" t="str">
        <f>IF([1]Situation!$F$7:$F$31="","",[1]Situation!$F$7:$F$31)</f>
        <v/>
      </c>
      <c r="G18" s="84" t="str">
        <f>IF([1]Situation!$G$7:$G$31="","",[1]Situation!$G$7:$G$31)</f>
        <v/>
      </c>
      <c r="H18" s="85" t="str">
        <f>IF([1]Situation!$H$7:$H$31="","",[1]Situation!$H$7:$H$31)</f>
        <v>PPV SPARE</v>
      </c>
      <c r="I18" s="86" t="str">
        <f>IF([1]Situation!$I$7:$I$31="","",[1]Situation!$I$7:$I$31)</f>
        <v/>
      </c>
      <c r="J18" s="87" t="str">
        <f>IF([1]Situation!$J$7:$J$31="","",[1]Situation!$J$7:$J$31)</f>
        <v>LCS</v>
      </c>
      <c r="K18" s="88" t="str">
        <f>IF([1]Situation!$K$7:$K$31="","",[1]Situation!$K$7:$K$31)</f>
        <v>LCS</v>
      </c>
      <c r="L18" s="89" t="str">
        <f>IF([1]Situation!$L$7:$L$31="","",[1]Situation!$L$7:$L$31)</f>
        <v>1T100</v>
      </c>
      <c r="M18" s="48" t="str">
        <f>IF([1]Situation!$M$7:$M$26="","",[1]Situation!$M$7:$M$26)</f>
        <v/>
      </c>
      <c r="N18" s="48" t="str">
        <f>IF([1]Situation!$N$7:$N$28="","",[1]Situation!$N$7:$N$28)</f>
        <v>V</v>
      </c>
      <c r="O18" s="130" t="str">
        <f>IF([1]Situation!$O$7:$O$31="","",[1]Situation!$O$7:$O$31)</f>
        <v/>
      </c>
      <c r="P18" s="90" t="str">
        <f>IF([1]Situation!$P$7:$P$31="","",[1]Situation!$P$7:$P$31)</f>
        <v/>
      </c>
      <c r="Q18" s="14" t="str">
        <f>IF([1]Situation!$Q$7:$Q$26="","",[1]Situation!$Q$7:$Q$26)</f>
        <v/>
      </c>
      <c r="R18" s="13"/>
      <c r="S18" s="13"/>
    </row>
    <row r="19" spans="1:19" ht="50.1" customHeight="1" x14ac:dyDescent="0.25">
      <c r="A19" s="13"/>
      <c r="B19" s="80" t="str">
        <f>IF([1]Gestion!$B$7:$B$31="","",[1]Gestion!$B$7:$B$31)</f>
        <v>YV 107</v>
      </c>
      <c r="C19" s="119">
        <f>IF([1]Situation!$C$7:$C$31="","",[1]Situation!$C$7:$C$31)</f>
        <v>107</v>
      </c>
      <c r="D19" s="81" t="str">
        <f>IF([1]Situation!$D$7:$D$31="","",[1]Situation!$D$7:$D$31)</f>
        <v/>
      </c>
      <c r="E19" s="82" t="str">
        <f>IF([1]Situation!$E$7:$E$31="","",[1]Situation!$E$7:$E$31)</f>
        <v/>
      </c>
      <c r="F19" s="83" t="str">
        <f>IF([1]Situation!$F$7:$F$31="","",[1]Situation!$F$7:$F$31)</f>
        <v/>
      </c>
      <c r="G19" s="84" t="str">
        <f>IF([1]Situation!$G$7:$G$31="","",[1]Situation!$G$7:$G$31)</f>
        <v/>
      </c>
      <c r="H19" s="85" t="str">
        <f>IF([1]Situation!$H$7:$H$31="","",[1]Situation!$H$7:$H$31)</f>
        <v>VOL</v>
      </c>
      <c r="I19" s="86" t="str">
        <f>IF([1]Situation!$I$7:$I$31="","",[1]Situation!$I$7:$I$31)</f>
        <v/>
      </c>
      <c r="J19" s="87" t="str">
        <f>IF([1]Situation!$J$7:$J$31="","",[1]Situation!$J$7:$J$31)</f>
        <v/>
      </c>
      <c r="K19" s="88" t="str">
        <f>IF([1]Situation!$K$7:$K$31="","",[1]Situation!$K$7:$K$31)</f>
        <v/>
      </c>
      <c r="L19" s="89" t="str">
        <f>IF([1]Situation!$L$7:$L$31="","",[1]Situation!$L$7:$L$31)</f>
        <v>1T100</v>
      </c>
      <c r="M19" s="48" t="str">
        <f>IF([1]Situation!$M$7:$M$26="","",[1]Situation!$M$7:$M$26)</f>
        <v/>
      </c>
      <c r="N19" s="48" t="str">
        <f>IF([1]Situation!$N$7:$N$28="","",[1]Situation!$N$7:$N$28)</f>
        <v/>
      </c>
      <c r="O19" s="130" t="str">
        <f>IF([1]Situation!$O$7:$O$31="","",[1]Situation!$O$7:$O$31)</f>
        <v/>
      </c>
      <c r="P19" s="90" t="str">
        <f>IF([1]Situation!$P$7:$P$31="","",[1]Situation!$P$7:$P$31)</f>
        <v/>
      </c>
      <c r="Q19" s="14" t="str">
        <f>IF([1]Situation!$Q$7:$Q$26="","",[1]Situation!$Q$7:$Q$26)</f>
        <v/>
      </c>
      <c r="R19" s="13"/>
      <c r="S19" s="13"/>
    </row>
    <row r="20" spans="1:19" ht="50.1" customHeight="1" x14ac:dyDescent="0.25">
      <c r="A20" s="13"/>
      <c r="B20" s="80" t="str">
        <f>IF([1]Gestion!$B$7:$B$31="","",[1]Gestion!$B$7:$B$31)</f>
        <v>YW 108</v>
      </c>
      <c r="C20" s="119">
        <f>IF([1]Situation!$C$7:$C$31="","",[1]Situation!$C$7:$C$31)</f>
        <v>108</v>
      </c>
      <c r="D20" s="81">
        <f>IF([1]Situation!$D$7:$D$31="","",[1]Situation!$D$7:$D$31)</f>
        <v>14</v>
      </c>
      <c r="E20" s="82" t="str">
        <f>IF([1]Situation!$E$7:$E$31="","",[1]Situation!$E$7:$E$31)</f>
        <v/>
      </c>
      <c r="F20" s="83" t="str">
        <f>IF([1]Situation!$F$7:$F$31="","",[1]Situation!$F$7:$F$31)</f>
        <v/>
      </c>
      <c r="G20" s="84" t="str">
        <f>IF([1]Situation!$G$7:$G$31="","",[1]Situation!$G$7:$G$31)</f>
        <v/>
      </c>
      <c r="H20" s="85" t="str">
        <f>IF([1]Situation!$H$7:$H$31="","",[1]Situation!$H$7:$H$31)</f>
        <v>VOL</v>
      </c>
      <c r="I20" s="86" t="str">
        <f>IF([1]Situation!$I$7:$I$31="","",[1]Situation!$I$7:$I$31)</f>
        <v/>
      </c>
      <c r="J20" s="87" t="str">
        <f>IF([1]Situation!$J$7:$J$31="","",[1]Situation!$J$7:$J$31)</f>
        <v/>
      </c>
      <c r="K20" s="88" t="str">
        <f>IF([1]Situation!$K$7:$K$31="","",[1]Situation!$K$7:$K$31)</f>
        <v/>
      </c>
      <c r="L20" s="89" t="str">
        <f>IF([1]Situation!$L$7:$L$31="","",[1]Situation!$L$7:$L$31)</f>
        <v>1T100</v>
      </c>
      <c r="M20" s="48" t="str">
        <f>IF([1]Situation!$M$7:$M$26="","",[1]Situation!$M$7:$M$26)</f>
        <v/>
      </c>
      <c r="N20" s="48" t="str">
        <f>IF([1]Situation!$N$7:$N$28="","",[1]Situation!$N$7:$N$28)</f>
        <v/>
      </c>
      <c r="O20" s="130" t="str">
        <f>IF([1]Situation!$O$7:$O$31="","",[1]Situation!$O$7:$O$31)</f>
        <v/>
      </c>
      <c r="P20" s="90" t="str">
        <f>IF([1]Situation!$P$7:$P$31="","",[1]Situation!$P$7:$P$31)</f>
        <v/>
      </c>
      <c r="Q20" s="14" t="str">
        <f>IF([1]Situation!$Q$7:$Q$26="","",[1]Situation!$Q$7:$Q$26)</f>
        <v/>
      </c>
      <c r="R20" s="13"/>
      <c r="S20" s="13"/>
    </row>
    <row r="21" spans="1:19" ht="50.1" customHeight="1" x14ac:dyDescent="0.25">
      <c r="A21" s="13"/>
      <c r="B21" s="80" t="str">
        <f>IF([1]Gestion!$B$7:$B$31="","",[1]Gestion!$B$7:$B$31)</f>
        <v/>
      </c>
      <c r="C21" s="119" t="str">
        <f>IF([1]Situation!$C$7:$C$31="","",[1]Situation!$C$7:$C$31)</f>
        <v>V</v>
      </c>
      <c r="D21" s="81" t="str">
        <f>IF([1]Situation!$D$7:$D$31="","",[1]Situation!$D$7:$D$31)</f>
        <v/>
      </c>
      <c r="E21" s="82" t="str">
        <f>IF([1]Situation!$E$7:$E$31="","",[1]Situation!$E$7:$E$31)</f>
        <v/>
      </c>
      <c r="F21" s="83" t="str">
        <f>IF([1]Situation!$F$7:$F$31="","",[1]Situation!$F$7:$F$31)</f>
        <v/>
      </c>
      <c r="G21" s="84" t="str">
        <f>IF([1]Situation!$G$7:$G$31="","",[1]Situation!$G$7:$G$31)</f>
        <v/>
      </c>
      <c r="H21" s="85" t="str">
        <f>IF([1]Situation!$H$7:$H$31="","",[1]Situation!$H$7:$H$31)</f>
        <v/>
      </c>
      <c r="I21" s="86" t="str">
        <f>IF([1]Situation!$I$7:$I$31="","",[1]Situation!$I$7:$I$31)</f>
        <v/>
      </c>
      <c r="J21" s="87" t="str">
        <f>IF([1]Situation!$J$7:$J$31="","",[1]Situation!$J$7:$J$31)</f>
        <v/>
      </c>
      <c r="K21" s="88" t="str">
        <f>IF([1]Situation!$K$7:$K$31="","",[1]Situation!$K$7:$K$31)</f>
        <v/>
      </c>
      <c r="L21" s="89" t="str">
        <f>IF([1]Situation!$L$7:$L$31="","",[1]Situation!$L$7:$L$31)</f>
        <v/>
      </c>
      <c r="M21" s="48" t="str">
        <f>IF([1]Situation!$M$7:$M$26="","",[1]Situation!$M$7:$M$26)</f>
        <v/>
      </c>
      <c r="N21" s="48" t="str">
        <f>IF([1]Situation!$N$7:$N$28="","",[1]Situation!$N$7:$N$28)</f>
        <v/>
      </c>
      <c r="O21" s="130" t="str">
        <f>IF([1]Situation!$O$7:$O$31="","",[1]Situation!$O$7:$O$31)</f>
        <v/>
      </c>
      <c r="P21" s="90" t="str">
        <f>IF([1]Situation!$P$7:$P$31="","",[1]Situation!$P$7:$P$31)</f>
        <v/>
      </c>
      <c r="Q21" s="14" t="str">
        <f>IF([1]Situation!$Q$7:$Q$26="","",[1]Situation!$Q$7:$Q$26)</f>
        <v/>
      </c>
      <c r="R21" s="13"/>
      <c r="S21" s="13"/>
    </row>
    <row r="22" spans="1:19" ht="50.1" customHeight="1" x14ac:dyDescent="0.25">
      <c r="A22" s="13"/>
      <c r="B22" s="80" t="str">
        <f>IF([1]Gestion!$B$7:$B$31="","",[1]Gestion!$B$7:$B$31)</f>
        <v/>
      </c>
      <c r="C22" s="119" t="str">
        <f>IF([1]Situation!$C$7:$C$31="","",[1]Situation!$C$7:$C$31)</f>
        <v>V</v>
      </c>
      <c r="D22" s="81" t="str">
        <f>IF([1]Situation!$D$7:$D$31="","",[1]Situation!$D$7:$D$31)</f>
        <v/>
      </c>
      <c r="E22" s="82" t="str">
        <f>IF([1]Situation!$E$7:$E$31="","",[1]Situation!$E$7:$E$31)</f>
        <v/>
      </c>
      <c r="F22" s="83" t="str">
        <f>IF([1]Situation!$F$7:$F$31="","",[1]Situation!$F$7:$F$31)</f>
        <v/>
      </c>
      <c r="G22" s="84" t="str">
        <f>IF([1]Situation!$G$7:$G$31="","",[1]Situation!$G$7:$G$31)</f>
        <v/>
      </c>
      <c r="H22" s="85" t="str">
        <f>IF([1]Situation!$H$7:$H$31="","",[1]Situation!$H$7:$H$31)</f>
        <v/>
      </c>
      <c r="I22" s="86" t="str">
        <f>IF([1]Situation!$I$7:$I$31="","",[1]Situation!$I$7:$I$31)</f>
        <v/>
      </c>
      <c r="J22" s="87" t="str">
        <f>IF([1]Situation!$J$7:$J$31="","",[1]Situation!$J$7:$J$31)</f>
        <v/>
      </c>
      <c r="K22" s="88" t="str">
        <f>IF([1]Situation!$K$7:$K$31="","",[1]Situation!$K$7:$K$31)</f>
        <v/>
      </c>
      <c r="L22" s="89" t="str">
        <f>IF([1]Situation!$L$7:$L$31="","",[1]Situation!$L$7:$L$31)</f>
        <v/>
      </c>
      <c r="M22" s="48" t="str">
        <f>IF([1]Situation!$M$7:$M$26="","",[1]Situation!$M$7:$M$26)</f>
        <v/>
      </c>
      <c r="N22" s="48" t="str">
        <f>IF([1]Situation!$N$7:$N$28="","",[1]Situation!$N$7:$N$28)</f>
        <v/>
      </c>
      <c r="O22" s="130" t="str">
        <f>IF([1]Situation!$O$7:$O$31="","",[1]Situation!$O$7:$O$31)</f>
        <v/>
      </c>
      <c r="P22" s="90" t="str">
        <f>IF([1]Situation!$P$7:$P$31="","",[1]Situation!$P$7:$P$31)</f>
        <v/>
      </c>
      <c r="Q22" s="14" t="str">
        <f>IF([1]Situation!$Q$7:$Q$26="","",[1]Situation!$Q$7:$Q$26)</f>
        <v/>
      </c>
      <c r="R22" s="13"/>
      <c r="S22" s="13"/>
    </row>
    <row r="23" spans="1:19" ht="50.1" customHeight="1" thickBot="1" x14ac:dyDescent="0.3">
      <c r="A23" s="13"/>
      <c r="B23" s="91" t="str">
        <f>IF([1]Gestion!$B$7:$B$31="","",[1]Gestion!$B$7:$B$31)</f>
        <v/>
      </c>
      <c r="C23" s="119" t="str">
        <f>IF([1]Situation!$C$7:$C$31="","",[1]Situation!$C$7:$C$31)</f>
        <v>V</v>
      </c>
      <c r="D23" s="92" t="str">
        <f>IF([1]Situation!$D$7:$D$31="","",[1]Situation!$D$7:$D$31)</f>
        <v/>
      </c>
      <c r="E23" s="93" t="str">
        <f>IF([1]Situation!$E$7:$E$31="","",[1]Situation!$E$7:$E$31)</f>
        <v/>
      </c>
      <c r="F23" s="94" t="str">
        <f>IF([1]Situation!$F$7:$F$31="","",[1]Situation!$F$7:$F$31)</f>
        <v/>
      </c>
      <c r="G23" s="95" t="str">
        <f>IF([1]Situation!$G$7:$G$31="","",[1]Situation!$G$7:$G$31)</f>
        <v/>
      </c>
      <c r="H23" s="96" t="str">
        <f>IF([1]Situation!$H$7:$H$31="","",[1]Situation!$H$7:$H$31)</f>
        <v/>
      </c>
      <c r="I23" s="97" t="str">
        <f>IF([1]Situation!$I$7:$I$31="","",[1]Situation!$I$7:$I$31)</f>
        <v/>
      </c>
      <c r="J23" s="98" t="str">
        <f>IF([1]Situation!$J$7:$J$31="","",[1]Situation!$J$7:$J$31)</f>
        <v/>
      </c>
      <c r="K23" s="99" t="str">
        <f>IF([1]Situation!$K$7:$K$31="","",[1]Situation!$K$7:$K$31)</f>
        <v/>
      </c>
      <c r="L23" s="100" t="str">
        <f>IF([1]Situation!$L$7:$L$31="","",[1]Situation!$L$7:$L$31)</f>
        <v/>
      </c>
      <c r="M23" s="101" t="str">
        <f>IF([1]Situation!$M$7:$M$26="","",[1]Situation!$M$7:$M$26)</f>
        <v/>
      </c>
      <c r="N23" s="101" t="str">
        <f>IF([1]Situation!$N$7:$N$28="","",[1]Situation!$N$7:$N$28)</f>
        <v/>
      </c>
      <c r="O23" s="129" t="str">
        <f>IF([1]Situation!$O$7:$O$31="","",[1]Situation!$O$7:$O$31)</f>
        <v/>
      </c>
      <c r="P23" s="102" t="str">
        <f>IF([1]Situation!$P$7:$P$31="","",[1]Situation!$P$7:$P$31)</f>
        <v/>
      </c>
      <c r="Q23" s="14" t="str">
        <f>IF([1]Situation!$Q$7:$Q$26="","",[1]Situation!$Q$7:$Q$26)</f>
        <v/>
      </c>
      <c r="R23" s="13"/>
      <c r="S23" s="13"/>
    </row>
    <row r="24" spans="1:19" ht="50.1" hidden="1" customHeight="1" thickTop="1" thickBot="1" x14ac:dyDescent="0.3">
      <c r="A24" s="13"/>
      <c r="B24" s="57" t="str">
        <f>IF([1]Gestion!$B$7:$B$31="","",[1]Gestion!$B$7:$B$31)</f>
        <v/>
      </c>
      <c r="C24" s="119" t="str">
        <f>IF([1]Situation!$C$7:$C$31="","",[1]Situation!$C$7:$C$31)</f>
        <v>V</v>
      </c>
      <c r="D24" s="43" t="str">
        <f>IF([1]Situation!$D$7:$D$31="","",[1]Situation!$D$7:$D$31)</f>
        <v/>
      </c>
      <c r="E24" s="21" t="str">
        <f>IF([1]Situation!$E$7:$E$31="","",[1]Situation!$E$7:$E$31)</f>
        <v/>
      </c>
      <c r="F24" s="39" t="str">
        <f>IF([1]Situation!$F$7:$F$31="","",[1]Situation!$F$7:$F$31)</f>
        <v/>
      </c>
      <c r="G24" s="63" t="str">
        <f>IF([1]Situation!$G$7:$G$31="","",[1]Situation!$G$7:$G$31)</f>
        <v/>
      </c>
      <c r="H24" s="64" t="str">
        <f>IF([1]Situation!$H$7:$H$31="","",[1]Situation!$H$7:$H$31)</f>
        <v/>
      </c>
      <c r="I24" s="65" t="str">
        <f>IF([1]Situation!$I$7:$I$31="","",[1]Situation!$I$7:$I$31)</f>
        <v/>
      </c>
      <c r="J24" s="66" t="str">
        <f>IF([1]Situation!$J$7:$J$31="","",[1]Situation!$J$7:$J$31)</f>
        <v/>
      </c>
      <c r="K24" s="67" t="str">
        <f>IF([1]Situation!$K$7:$K$31="","",[1]Situation!$K$7:$K$31)</f>
        <v/>
      </c>
      <c r="L24" s="44" t="str">
        <f>IF([1]Situation!$L$7:$L$31="","",[1]Situation!$L$7:$L$31)</f>
        <v/>
      </c>
      <c r="M24" s="19" t="str">
        <f>IF([1]Situation!$M$7:$M$26="","",[1]Situation!$M$7:$M$26)</f>
        <v/>
      </c>
      <c r="N24" s="19" t="str">
        <f>IF([1]Situation!$N$7:$N$28="","",[1]Situation!$N$7:$N$28)</f>
        <v/>
      </c>
      <c r="O24" s="20" t="str">
        <f>IF([1]Situation!$O$7:$O$31="","",[1]Situation!$O$7:$O$31)</f>
        <v/>
      </c>
      <c r="P24" s="28" t="str">
        <f>IF([1]Situation!$P$7:$P$31="","",[1]Situation!$P$7:$P$31)</f>
        <v/>
      </c>
      <c r="Q24" s="14" t="str">
        <f>IF([1]Situation!$Q$7:$Q$26="","",[1]Situation!$Q$7:$Q$26)</f>
        <v/>
      </c>
      <c r="R24" s="13"/>
      <c r="S24" s="13"/>
    </row>
    <row r="25" spans="1:19" ht="50.1" hidden="1" customHeight="1" thickBot="1" x14ac:dyDescent="0.3">
      <c r="A25" s="13"/>
      <c r="B25" s="57" t="str">
        <f>IF([1]Gestion!$B$7:$B$31="","",[1]Gestion!$B$7:$B$31)</f>
        <v/>
      </c>
      <c r="C25" s="119" t="str">
        <f>IF([1]Situation!$C$7:$C$31="","",[1]Situation!$C$7:$C$31)</f>
        <v>V</v>
      </c>
      <c r="D25" s="43" t="str">
        <f>IF([1]Situation!$D$7:$D$31="","",[1]Situation!$D$7:$D$31)</f>
        <v/>
      </c>
      <c r="E25" s="21" t="str">
        <f>IF([1]Situation!$E$7:$E$31="","",[1]Situation!$E$7:$E$31)</f>
        <v/>
      </c>
      <c r="F25" s="39" t="str">
        <f>IF([1]Situation!$F$7:$F$31="","",[1]Situation!$F$7:$F$31)</f>
        <v/>
      </c>
      <c r="G25" s="25" t="str">
        <f>IF([1]Situation!$G$7:$G$31="","",[1]Situation!$G$7:$G$31)</f>
        <v/>
      </c>
      <c r="H25" s="26" t="str">
        <f>IF([1]Situation!$H$7:$H$31="","",[1]Situation!$H$7:$H$31)</f>
        <v/>
      </c>
      <c r="I25" s="27" t="str">
        <f>IF([1]Situation!$I$7:$I$31="","",[1]Situation!$I$7:$I$31)</f>
        <v/>
      </c>
      <c r="J25" s="40" t="str">
        <f>IF([1]Situation!$J$7:$J$31="","",[1]Situation!$J$7:$J$31)</f>
        <v/>
      </c>
      <c r="K25" s="41" t="str">
        <f>IF([1]Situation!$K$7:$K$31="","",[1]Situation!$K$7:$K$31)</f>
        <v/>
      </c>
      <c r="L25" s="44" t="str">
        <f>IF([1]Situation!$L$7:$L$31="","",[1]Situation!$L$7:$L$31)</f>
        <v/>
      </c>
      <c r="M25" s="19" t="str">
        <f>IF([1]Situation!$M$7:$M$26="","",[1]Situation!$M$7:$M$26)</f>
        <v/>
      </c>
      <c r="N25" s="19" t="str">
        <f>IF([1]Situation!$N$7:$N$28="","",[1]Situation!$N$7:$N$28)</f>
        <v/>
      </c>
      <c r="O25" s="20" t="str">
        <f>IF([1]Situation!$O$7:$O$31="","",[1]Situation!$O$7:$O$31)</f>
        <v/>
      </c>
      <c r="P25" s="28" t="str">
        <f>IF([1]Situation!$P$7:$P$31="","",[1]Situation!$P$7:$P$31)</f>
        <v/>
      </c>
      <c r="Q25" s="60" t="str">
        <f>IF([1]Situation!$Q$7:$Q$26="","",[1]Situation!$Q$7:$Q$26)</f>
        <v/>
      </c>
      <c r="R25" s="13"/>
      <c r="S25" s="13"/>
    </row>
    <row r="26" spans="1:19" ht="50.1" hidden="1" customHeight="1" thickBot="1" x14ac:dyDescent="0.3">
      <c r="A26" s="13"/>
      <c r="B26" s="57" t="str">
        <f>IF([1]Gestion!$B$7:$B$31="","",[1]Gestion!$B$7:$B$31)</f>
        <v/>
      </c>
      <c r="C26" s="119" t="str">
        <f>IF([1]Situation!$C$7:$C$31="","",[1]Situation!$C$7:$C$31)</f>
        <v>V</v>
      </c>
      <c r="D26" s="43" t="str">
        <f>IF([1]Situation!$D$7:$D$31="","",[1]Situation!$D$7:$D$31)</f>
        <v/>
      </c>
      <c r="E26" s="21" t="str">
        <f>IF([1]Situation!$E$7:$E$31="","",[1]Situation!$E$7:$E$31)</f>
        <v/>
      </c>
      <c r="F26" s="39" t="str">
        <f>IF([1]Situation!$F$7:$F$31="","",[1]Situation!$F$7:$F$31)</f>
        <v/>
      </c>
      <c r="G26" s="25" t="str">
        <f>IF([1]Situation!$G$7:$G$31="","",[1]Situation!$G$7:$G$31)</f>
        <v/>
      </c>
      <c r="H26" s="26" t="str">
        <f>IF([1]Situation!$H$7:$H$31="","",[1]Situation!$H$7:$H$31)</f>
        <v/>
      </c>
      <c r="I26" s="27" t="str">
        <f>IF([1]Situation!$I$7:$I$31="","",[1]Situation!$I$7:$I$31)</f>
        <v/>
      </c>
      <c r="J26" s="40" t="str">
        <f>IF([1]Situation!$J$7:$J$31="","",[1]Situation!$J$7:$J$31)</f>
        <v/>
      </c>
      <c r="K26" s="41" t="str">
        <f>IF([1]Situation!$K$7:$K$31="","",[1]Situation!$K$7:$K$31)</f>
        <v/>
      </c>
      <c r="L26" s="44" t="str">
        <f>IF([1]Situation!$L$7:$L$31="","",[1]Situation!$L$7:$L$31)</f>
        <v/>
      </c>
      <c r="M26" s="19" t="str">
        <f>IF([1]Situation!$M$7:$M$26="","",[1]Situation!$M$7:$M$26)</f>
        <v/>
      </c>
      <c r="N26" s="19" t="str">
        <f>IF([1]Situation!$N$7:$N$28="","",[1]Situation!$N$7:$N$28)</f>
        <v/>
      </c>
      <c r="O26" s="20" t="str">
        <f>IF([1]Situation!$O$7:$O$31="","",[1]Situation!$O$7:$O$31)</f>
        <v/>
      </c>
      <c r="P26" s="28" t="str">
        <f>IF([1]Situation!$P$7:$P$31="","",[1]Situation!$P$7:$P$31)</f>
        <v/>
      </c>
      <c r="Q26" s="60" t="str">
        <f>IF([1]Situation!$Q$7:$Q$26="","",[1]Situation!$Q$7:$Q$26)</f>
        <v/>
      </c>
      <c r="R26" s="13"/>
      <c r="S26" s="13"/>
    </row>
    <row r="27" spans="1:19" ht="50.1" hidden="1" customHeight="1" thickBot="1" x14ac:dyDescent="0.3">
      <c r="A27" s="13"/>
      <c r="B27" s="57" t="str">
        <f>IF([1]Gestion!$B$7:$B$31="","",[1]Gestion!$B$7:$B$31)</f>
        <v>YT 103</v>
      </c>
      <c r="C27" s="119" t="str">
        <f>IF([1]Situation!$C$7:$C$31="","",[1]Situation!$C$7:$C$31)</f>
        <v>x103</v>
      </c>
      <c r="D27" s="43" t="str">
        <f>IF([1]Situation!$D$7:$D$31="","",[1]Situation!$D$7:$D$31)</f>
        <v>EXT</v>
      </c>
      <c r="E27" s="21" t="str">
        <f>IF([1]Situation!$E$7:$E$31="","",[1]Situation!$E$7:$E$31)</f>
        <v>X</v>
      </c>
      <c r="F27" s="39" t="str">
        <f>IF([1]Situation!$F$7:$F$31="","",[1]Situation!$F$7:$F$31)</f>
        <v>X</v>
      </c>
      <c r="G27" s="25" t="str">
        <f>IF([1]Situation!$G$7:$G$31="","",[1]Situation!$G$7:$G$31)</f>
        <v/>
      </c>
      <c r="H27" s="26" t="str">
        <f>IF([1]Situation!$H$7:$H$31="","",[1]Situation!$H$7:$H$31)</f>
        <v/>
      </c>
      <c r="I27" s="27" t="str">
        <f>IF([1]Situation!$I$7:$I$31="","",[1]Situation!$I$7:$I$31)</f>
        <v/>
      </c>
      <c r="J27" s="40" t="str">
        <f>IF([1]Situation!$J$7:$J$31="","",[1]Situation!$J$7:$J$31)</f>
        <v>I</v>
      </c>
      <c r="K27" s="41" t="str">
        <f>IF([1]Situation!$K$7:$K$31="","",[1]Situation!$K$7:$K$31)</f>
        <v/>
      </c>
      <c r="L27" s="44" t="str">
        <f>IF([1]Situation!$L$7:$L$31="","",[1]Situation!$L$7:$L$31)</f>
        <v>INC</v>
      </c>
      <c r="M27" s="19" t="e">
        <f>IF([1]Situation!$M$7:$M$26="","",[1]Situation!$M$7:$M$26)</f>
        <v>#VALUE!</v>
      </c>
      <c r="N27" s="19" t="str">
        <f>IF([1]Situation!$N$7:$N$28="","",[1]Situation!$N$7:$N$28)</f>
        <v/>
      </c>
      <c r="O27" s="20" t="str">
        <f>IF([1]Situation!$O$7:$O$31="","",[1]Situation!$O$7:$O$31)</f>
        <v>VOLETS CAZAUX</v>
      </c>
      <c r="P27" s="28" t="str">
        <f>IF([1]Situation!$P$7:$P$31="","",[1]Situation!$P$7:$P$31)</f>
        <v/>
      </c>
      <c r="Q27" s="60" t="e">
        <f>IF([1]Situation!$Q$7:$Q$26="","",[1]Situation!$Q$7:$Q$26)</f>
        <v>#VALUE!</v>
      </c>
      <c r="R27" s="13"/>
      <c r="S27" s="13"/>
    </row>
    <row r="28" spans="1:19" ht="50.1" hidden="1" customHeight="1" thickBot="1" x14ac:dyDescent="0.3">
      <c r="A28" s="13"/>
      <c r="B28" s="57" t="str">
        <f>IF([1]Gestion!$B$7:$B$31="","",[1]Gestion!$B$7:$B$31)</f>
        <v>YU 105</v>
      </c>
      <c r="C28" s="119" t="str">
        <f>IF([1]Situation!$C$7:$C$31="","",[1]Situation!$C$7:$C$31)</f>
        <v>x105</v>
      </c>
      <c r="D28" s="43" t="str">
        <f>IF([1]Situation!$D$7:$D$31="","",[1]Situation!$D$7:$D$31)</f>
        <v>C7</v>
      </c>
      <c r="E28" s="21" t="str">
        <f>IF([1]Situation!$E$7:$E$31="","",[1]Situation!$E$7:$E$31)</f>
        <v>X</v>
      </c>
      <c r="F28" s="39" t="str">
        <f>IF([1]Situation!$F$7:$F$31="","",[1]Situation!$F$7:$F$31)</f>
        <v/>
      </c>
      <c r="G28" s="25" t="str">
        <f>IF([1]Situation!$G$7:$G$31="","",[1]Situation!$G$7:$G$31)</f>
        <v/>
      </c>
      <c r="H28" s="26" t="str">
        <f>IF([1]Situation!$H$7:$H$31="","",[1]Situation!$H$7:$H$31)</f>
        <v/>
      </c>
      <c r="I28" s="27" t="str">
        <f>IF([1]Situation!$I$7:$I$31="","",[1]Situation!$I$7:$I$31)</f>
        <v/>
      </c>
      <c r="J28" s="40" t="str">
        <f>IF([1]Situation!$J$7:$J$31="","",[1]Situation!$J$7:$J$31)</f>
        <v>I</v>
      </c>
      <c r="K28" s="41" t="str">
        <f>IF([1]Situation!$K$7:$K$31="","",[1]Situation!$K$7:$K$31)</f>
        <v>I</v>
      </c>
      <c r="L28" s="44" t="str">
        <f>IF([1]Situation!$L$7:$L$31="","",[1]Situation!$L$7:$L$31)</f>
        <v>1T100</v>
      </c>
      <c r="M28" s="19" t="e">
        <f>IF([1]Situation!$M$7:$M$26="","",[1]Situation!$M$7:$M$26)</f>
        <v>#VALUE!</v>
      </c>
      <c r="N28" s="19" t="str">
        <f>IF([1]Situation!$N$7:$N$28="","",[1]Situation!$N$7:$N$28)</f>
        <v>V</v>
      </c>
      <c r="O28" s="20" t="str">
        <f>IF([1]Situation!$O$7:$O$31="","",[1]Situation!$O$7:$O$31)</f>
        <v>fuite Vérin relevage Taux // ATTENTE B1</v>
      </c>
      <c r="P28" s="28" t="str">
        <f>IF([1]Situation!$P$7:$P$31="","",[1]Situation!$P$7:$P$31)</f>
        <v/>
      </c>
      <c r="Q28" s="61" t="e">
        <f>IF([1]Situation!$Q$7:$Q$26="","",[1]Situation!$Q$7:$Q$26)</f>
        <v>#VALUE!</v>
      </c>
      <c r="R28" s="13"/>
      <c r="S28" s="13"/>
    </row>
    <row r="29" spans="1:19" ht="50.1" hidden="1" customHeight="1" thickBot="1" x14ac:dyDescent="0.3">
      <c r="A29" s="13"/>
      <c r="B29" s="57" t="str">
        <f>IF([1]Gestion!$B$7:$B$31="","",[1]Gestion!$B$7:$B$31)</f>
        <v>BJ 85</v>
      </c>
      <c r="C29" s="119" t="str">
        <f>IF([1]Situation!$C$7:$C$31="","",[1]Situation!$C$7:$C$31)</f>
        <v>x85</v>
      </c>
      <c r="D29" s="43" t="str">
        <f>IF([1]Situation!$D$7:$D$31="","",[1]Situation!$D$7:$D$31)</f>
        <v>D8</v>
      </c>
      <c r="E29" s="21" t="str">
        <f>IF([1]Situation!$E$7:$E$31="","",[1]Situation!$E$7:$E$31)</f>
        <v>X</v>
      </c>
      <c r="F29" s="39" t="str">
        <f>IF([1]Situation!$F$7:$F$31="","",[1]Situation!$F$7:$F$31)</f>
        <v>X</v>
      </c>
      <c r="G29" s="25" t="str">
        <f>IF([1]Situation!$G$7:$G$31="","",[1]Situation!$G$7:$G$31)</f>
        <v/>
      </c>
      <c r="H29" s="26" t="str">
        <f>IF([1]Situation!$H$7:$H$31="","",[1]Situation!$H$7:$H$31)</f>
        <v/>
      </c>
      <c r="I29" s="27" t="str">
        <f>IF([1]Situation!$I$7:$I$31="","",[1]Situation!$I$7:$I$31)</f>
        <v/>
      </c>
      <c r="J29" s="40" t="str">
        <f>IF([1]Situation!$J$7:$J$31="","",[1]Situation!$J$7:$J$31)</f>
        <v>I</v>
      </c>
      <c r="K29" s="41" t="str">
        <f>IF([1]Situation!$K$7:$K$31="","",[1]Situation!$K$7:$K$31)</f>
        <v>I</v>
      </c>
      <c r="L29" s="44" t="str">
        <f>IF([1]Situation!$L$7:$L$31="","",[1]Situation!$L$7:$L$31)</f>
        <v>INC</v>
      </c>
      <c r="M29" s="19" t="e">
        <f>IF([1]Situation!$M$7:$M$26="","",[1]Situation!$M$7:$M$26)</f>
        <v>#VALUE!</v>
      </c>
      <c r="N29" s="19" t="e">
        <f>IF([1]Situation!$N$7:$N$28="","",[1]Situation!$N$7:$N$28)</f>
        <v>#VALUE!</v>
      </c>
      <c r="O29" s="20" t="str">
        <f>IF([1]Situation!$O$7:$O$31="","",[1]Situation!$O$7:$O$31)</f>
        <v>JAUGEUR RH + ENTREE B2 LE 17/08</v>
      </c>
      <c r="P29" s="28" t="str">
        <f>IF([1]Situation!$P$7:$P$31="","",[1]Situation!$P$7:$P$31)</f>
        <v/>
      </c>
      <c r="Q29" s="60" t="e">
        <f>IF([1]Situation!$Q$7:$Q$26="","",[1]Situation!$Q$7:$Q$26)</f>
        <v>#VALUE!</v>
      </c>
      <c r="R29" s="13"/>
      <c r="S29" s="13"/>
    </row>
    <row r="30" spans="1:19" ht="50.1" hidden="1" customHeight="1" thickBot="1" x14ac:dyDescent="0.3">
      <c r="A30" s="13"/>
      <c r="B30" s="57" t="str">
        <f>IF([1]Gestion!$B$7:$B$31="","",[1]Gestion!$B$7:$B$31)</f>
        <v>YL 92</v>
      </c>
      <c r="C30" s="119" t="str">
        <f>IF([1]Situation!$C$7:$C$31="","",[1]Situation!$C$7:$C$31)</f>
        <v>x92</v>
      </c>
      <c r="D30" s="43" t="str">
        <f>IF([1]Situation!$D$7:$D$31="","",[1]Situation!$D$7:$D$31)</f>
        <v>C8</v>
      </c>
      <c r="E30" s="21" t="str">
        <f>IF([1]Situation!$E$7:$E$31="","",[1]Situation!$E$7:$E$31)</f>
        <v>X</v>
      </c>
      <c r="F30" s="39" t="str">
        <f>IF([1]Situation!$F$7:$F$31="","",[1]Situation!$F$7:$F$31)</f>
        <v>X</v>
      </c>
      <c r="G30" s="25" t="str">
        <f>IF([1]Situation!$G$7:$G$31="","",[1]Situation!$G$7:$G$31)</f>
        <v/>
      </c>
      <c r="H30" s="26" t="str">
        <f>IF([1]Situation!$H$7:$H$31="","",[1]Situation!$H$7:$H$31)</f>
        <v/>
      </c>
      <c r="I30" s="27" t="str">
        <f>IF([1]Situation!$I$7:$I$31="","",[1]Situation!$I$7:$I$31)</f>
        <v/>
      </c>
      <c r="J30" s="40" t="str">
        <f>IF([1]Situation!$J$7:$J$31="","",[1]Situation!$J$7:$J$31)</f>
        <v>I</v>
      </c>
      <c r="K30" s="41" t="str">
        <f>IF([1]Situation!$K$7:$K$31="","",[1]Situation!$K$7:$K$31)</f>
        <v>I</v>
      </c>
      <c r="L30" s="44" t="str">
        <f>IF([1]Situation!$L$7:$L$31="","",[1]Situation!$L$7:$L$31)</f>
        <v>1T100</v>
      </c>
      <c r="M30" s="19" t="e">
        <f>IF([1]Situation!$M$7:$M$26="","",[1]Situation!$M$7:$M$26)</f>
        <v>#VALUE!</v>
      </c>
      <c r="N30" s="19" t="e">
        <f>IF([1]Situation!$N$7:$N$28="","",[1]Situation!$N$7:$N$28)</f>
        <v>#VALUE!</v>
      </c>
      <c r="O30" s="20" t="str">
        <f>IF([1]Situation!$O$7:$O$31="","",[1]Situation!$O$7:$O$31)</f>
        <v>ATTENTE ENTREE IREF1</v>
      </c>
      <c r="P30" s="28" t="str">
        <f>IF([1]Situation!$P$7:$P$31="","",[1]Situation!$P$7:$P$31)</f>
        <v/>
      </c>
      <c r="Q30" s="62" t="e">
        <f>IF([1]Situation!$Q$7:$Q$26="","",[1]Situation!$Q$7:$Q$26)</f>
        <v>#VALUE!</v>
      </c>
      <c r="R30" s="13"/>
      <c r="S30" s="13"/>
    </row>
    <row r="31" spans="1:19" ht="50.1" hidden="1" customHeight="1" thickBot="1" x14ac:dyDescent="0.3">
      <c r="A31" s="13"/>
      <c r="B31" s="103" t="str">
        <f>IF([1]Gestion!$B$7:$B$31="","",[1]Gestion!$B$7:$B$31)</f>
        <v>YO 98</v>
      </c>
      <c r="C31" s="120" t="str">
        <f>IF([1]Situation!$C$7:$C$31="","",[1]Situation!$C$7:$C$31)</f>
        <v>x98</v>
      </c>
      <c r="D31" s="104" t="str">
        <f>IF([1]Situation!$D$7:$D$31="","",[1]Situation!$D$7:$D$31)</f>
        <v>D3</v>
      </c>
      <c r="E31" s="105" t="str">
        <f>IF([1]Situation!$E$7:$E$31="","",[1]Situation!$E$7:$E$31)</f>
        <v>X</v>
      </c>
      <c r="F31" s="106" t="str">
        <f>IF([1]Situation!$F$7:$F$31="","",[1]Situation!$F$7:$F$31)</f>
        <v>X</v>
      </c>
      <c r="G31" s="107" t="str">
        <f>IF([1]Situation!$G$7:$G$31="","",[1]Situation!$G$7:$G$31)</f>
        <v/>
      </c>
      <c r="H31" s="108" t="str">
        <f>IF([1]Situation!$H$7:$H$31="","",[1]Situation!$H$7:$H$31)</f>
        <v/>
      </c>
      <c r="I31" s="109" t="str">
        <f>IF([1]Situation!$I$7:$I$31="","",[1]Situation!$I$7:$I$31)</f>
        <v/>
      </c>
      <c r="J31" s="110" t="str">
        <f>IF([1]Situation!$J$7:$J$31="","",[1]Situation!$J$7:$J$31)</f>
        <v>I</v>
      </c>
      <c r="K31" s="111" t="str">
        <f>IF([1]Situation!$K$7:$K$31="","",[1]Situation!$K$7:$K$31)</f>
        <v>I</v>
      </c>
      <c r="L31" s="112" t="str">
        <f>IF([1]Situation!$L$7:$L$31="","",[1]Situation!$L$7:$L$31)</f>
        <v>INC</v>
      </c>
      <c r="M31" s="113" t="e">
        <f>IF([1]Situation!$M$7:$M$26="","",[1]Situation!$M$7:$M$26)</f>
        <v>#VALUE!</v>
      </c>
      <c r="N31" s="113" t="e">
        <f>IF([1]Situation!$N$7:$N$28="","",[1]Situation!$N$7:$N$28)</f>
        <v>#VALUE!</v>
      </c>
      <c r="O31" s="114" t="str">
        <f>IF([1]Situation!$O$7:$O$31="","",[1]Situation!$O$7:$O$31)</f>
        <v>ENTREE IREF 13/04</v>
      </c>
      <c r="P31" s="115" t="str">
        <f>IF([1]Situation!$P$7:$P$31="","",[1]Situation!$P$7:$P$31)</f>
        <v/>
      </c>
      <c r="Q31" s="62" t="e">
        <f>IF([1]Situation!$Q$7:$Q$26="","",[1]Situation!$Q$7:$Q$26)</f>
        <v>#VALUE!</v>
      </c>
      <c r="R31" s="13"/>
      <c r="S31" s="13"/>
    </row>
    <row r="32" spans="1:19" ht="24" customHeight="1" thickTop="1" x14ac:dyDescent="0.25">
      <c r="A32" s="13"/>
      <c r="B32" s="116"/>
      <c r="C32" s="116"/>
      <c r="D32" s="116"/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7" t="e">
        <f>IF([1]Situation!$Q$7:$Q$26="","",[1]Situation!$Q$7:$Q$26)</f>
        <v>#VALUE!</v>
      </c>
      <c r="R32" s="13"/>
      <c r="S32" s="13"/>
    </row>
    <row r="33" spans="1:19" ht="28.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62"/>
      <c r="R33" s="13"/>
      <c r="S33" s="13"/>
    </row>
    <row r="34" spans="1:19" x14ac:dyDescent="0.25">
      <c r="A34" s="13"/>
      <c r="B34" s="2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R34" s="13"/>
      <c r="S34" s="13"/>
    </row>
    <row r="35" spans="1:19" ht="15.75" thickBot="1" x14ac:dyDescent="0.3">
      <c r="A35" s="13"/>
      <c r="B35" s="2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R35" s="13"/>
      <c r="S35" s="13"/>
    </row>
    <row r="36" spans="1:19" ht="60" customHeight="1" thickTop="1" thickBot="1" x14ac:dyDescent="0.3">
      <c r="A36" s="13"/>
      <c r="B36" s="2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7" t="s">
        <v>50</v>
      </c>
      <c r="P36" s="138"/>
      <c r="Q36" s="13"/>
      <c r="R36" s="13"/>
      <c r="S36" s="13"/>
    </row>
    <row r="37" spans="1:19" ht="60" customHeight="1" thickBot="1" x14ac:dyDescent="0.3">
      <c r="A37" s="13"/>
      <c r="B37" s="2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9">
        <f>IF([1]Situation!$U$23="","",[1]Situation!$U$23)</f>
        <v>46268</v>
      </c>
      <c r="P37" s="140" t="str">
        <f>IF([1]Situation!$T$23="","",[1]Situation!$T$23)</f>
        <v/>
      </c>
      <c r="Q37" s="13"/>
      <c r="R37" s="13"/>
      <c r="S37" s="13"/>
    </row>
    <row r="38" spans="1:19" ht="15.75" thickTop="1" x14ac:dyDescent="0.25">
      <c r="A38" s="13"/>
      <c r="B38" s="2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</row>
    <row r="39" spans="1:19" x14ac:dyDescent="0.25">
      <c r="A39" s="13"/>
      <c r="B39" s="2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</row>
    <row r="40" spans="1:19" x14ac:dyDescent="0.25">
      <c r="A40" s="13"/>
      <c r="B40" s="2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</row>
    <row r="41" spans="1:19" x14ac:dyDescent="0.25">
      <c r="A41" s="13"/>
      <c r="B41" s="2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</row>
    <row r="42" spans="1:19" x14ac:dyDescent="0.25">
      <c r="A42" s="13"/>
      <c r="B42" s="2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</row>
    <row r="43" spans="1:19" x14ac:dyDescent="0.25">
      <c r="A43" s="13"/>
      <c r="B43" s="2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</row>
    <row r="44" spans="1:19" ht="35.25" x14ac:dyDescent="0.25">
      <c r="A44" s="13"/>
      <c r="B44" s="29"/>
      <c r="C44" s="30"/>
      <c r="D44" s="30"/>
      <c r="E44" s="31"/>
      <c r="F44" s="31"/>
      <c r="G44" s="32"/>
      <c r="H44" s="32"/>
      <c r="I44" s="33"/>
      <c r="J44" s="31"/>
      <c r="K44" s="31"/>
      <c r="L44" s="34"/>
      <c r="M44" s="35"/>
      <c r="N44" s="36"/>
      <c r="O44" s="37"/>
      <c r="P44" s="38"/>
      <c r="Q44" s="13"/>
      <c r="R44" s="13"/>
      <c r="S44" s="13"/>
    </row>
    <row r="45" spans="1:19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</row>
    <row r="46" spans="1:19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</row>
    <row r="47" spans="1:19" ht="35.25" x14ac:dyDescent="0.25">
      <c r="B47" s="1"/>
      <c r="C47" s="2"/>
      <c r="D47" s="2"/>
      <c r="E47" s="3"/>
      <c r="F47" s="3"/>
      <c r="G47" s="5"/>
      <c r="H47" s="5"/>
      <c r="I47" s="5"/>
      <c r="J47" s="3"/>
      <c r="K47" s="3"/>
      <c r="L47" s="6"/>
      <c r="M47" s="7"/>
      <c r="N47" s="8"/>
      <c r="O47" s="9"/>
      <c r="P47" s="10"/>
    </row>
    <row r="48" spans="1:19" ht="35.25" x14ac:dyDescent="0.25">
      <c r="B48" s="1"/>
      <c r="C48" s="2"/>
      <c r="D48" s="2"/>
      <c r="E48" s="3"/>
      <c r="F48" s="3"/>
      <c r="G48" s="5"/>
      <c r="H48" s="5"/>
      <c r="I48" s="5"/>
      <c r="J48" s="3"/>
      <c r="K48" s="3"/>
      <c r="L48" s="6"/>
      <c r="M48" s="7"/>
      <c r="N48" s="8"/>
      <c r="O48" s="9"/>
      <c r="P48" s="10"/>
    </row>
    <row r="49" spans="2:16" ht="35.25" x14ac:dyDescent="0.25">
      <c r="B49" s="11"/>
      <c r="C49" s="12"/>
      <c r="D49" s="12"/>
      <c r="E49" s="3"/>
      <c r="F49" s="3"/>
      <c r="G49" s="5"/>
      <c r="H49" s="5"/>
      <c r="I49" s="5"/>
      <c r="J49" s="3"/>
      <c r="K49" s="3"/>
      <c r="L49" s="6"/>
      <c r="M49" s="7"/>
      <c r="N49" s="8"/>
      <c r="O49" s="9"/>
      <c r="P49" s="10"/>
    </row>
    <row r="50" spans="2:16" ht="35.25" x14ac:dyDescent="0.25">
      <c r="B50" s="1"/>
      <c r="C50" s="2"/>
      <c r="D50" s="2"/>
      <c r="E50" s="3"/>
      <c r="F50" s="3"/>
      <c r="G50" s="5"/>
      <c r="H50" s="5"/>
      <c r="I50" s="5"/>
      <c r="J50" s="3"/>
      <c r="K50" s="3"/>
      <c r="L50" s="6"/>
      <c r="M50" s="7"/>
      <c r="N50" s="8"/>
      <c r="O50" s="9"/>
      <c r="P50" s="10"/>
    </row>
    <row r="51" spans="2:16" ht="35.25" x14ac:dyDescent="0.25">
      <c r="B51" s="11"/>
      <c r="C51" s="12"/>
      <c r="D51" s="12"/>
      <c r="E51" s="3"/>
      <c r="F51" s="3"/>
      <c r="G51" s="5"/>
      <c r="H51" s="5"/>
      <c r="I51" s="5"/>
      <c r="J51" s="3"/>
      <c r="K51" s="3"/>
      <c r="L51" s="6"/>
      <c r="M51" s="7"/>
      <c r="N51" s="8"/>
      <c r="O51" s="9"/>
      <c r="P51" s="10"/>
    </row>
    <row r="52" spans="2:16" ht="35.25" x14ac:dyDescent="0.25">
      <c r="B52" s="1"/>
      <c r="C52" s="2"/>
      <c r="D52" s="2"/>
      <c r="E52" s="3"/>
      <c r="F52" s="3"/>
      <c r="G52" s="5"/>
      <c r="H52" s="5"/>
      <c r="I52" s="5"/>
      <c r="J52" s="3"/>
      <c r="K52" s="3"/>
      <c r="L52" s="6"/>
      <c r="M52" s="7"/>
      <c r="N52" s="8"/>
      <c r="O52" s="9"/>
      <c r="P52" s="10"/>
    </row>
    <row r="53" spans="2:16" ht="35.25" x14ac:dyDescent="0.25">
      <c r="B53" s="1"/>
      <c r="C53" s="2"/>
      <c r="D53" s="2"/>
      <c r="E53" s="3"/>
      <c r="F53" s="3"/>
      <c r="G53" s="5"/>
      <c r="H53" s="5"/>
      <c r="I53" s="5"/>
      <c r="J53" s="3"/>
      <c r="K53" s="3"/>
      <c r="L53" s="6"/>
      <c r="M53" s="7"/>
      <c r="N53" s="8"/>
      <c r="O53" s="9"/>
      <c r="P53" s="10"/>
    </row>
    <row r="54" spans="2:16" ht="35.25" x14ac:dyDescent="0.25">
      <c r="B54" s="1"/>
      <c r="C54" s="2"/>
      <c r="D54" s="2"/>
      <c r="E54" s="3"/>
      <c r="F54" s="3"/>
      <c r="G54" s="5"/>
      <c r="H54" s="5"/>
      <c r="I54" s="5"/>
      <c r="J54" s="3"/>
      <c r="K54" s="3"/>
      <c r="L54" s="6"/>
      <c r="M54" s="7"/>
      <c r="N54" s="8"/>
      <c r="O54" s="9"/>
      <c r="P54" s="10"/>
    </row>
    <row r="55" spans="2:16" ht="35.25" x14ac:dyDescent="0.25">
      <c r="B55" s="1"/>
      <c r="C55" s="2"/>
      <c r="D55" s="2"/>
      <c r="E55" s="3"/>
      <c r="F55" s="3"/>
      <c r="G55" s="5"/>
      <c r="H55" s="5"/>
      <c r="I55" s="5"/>
      <c r="J55" s="3"/>
      <c r="K55" s="3"/>
      <c r="L55" s="6"/>
      <c r="M55" s="7"/>
      <c r="N55" s="8"/>
      <c r="O55" s="9"/>
      <c r="P55" s="10"/>
    </row>
    <row r="56" spans="2:16" ht="35.25" x14ac:dyDescent="0.25">
      <c r="B56" s="1"/>
      <c r="C56" s="2"/>
      <c r="D56" s="2"/>
      <c r="E56" s="3"/>
      <c r="F56" s="3"/>
      <c r="G56" s="5"/>
      <c r="H56" s="5"/>
      <c r="I56" s="5"/>
      <c r="J56" s="3"/>
      <c r="K56" s="3"/>
      <c r="L56" s="6"/>
      <c r="M56" s="7"/>
      <c r="N56" s="8"/>
      <c r="O56" s="9"/>
      <c r="P56" s="10"/>
    </row>
    <row r="57" spans="2:16" ht="35.25" x14ac:dyDescent="0.25">
      <c r="B57" s="1"/>
      <c r="C57" s="2"/>
      <c r="D57" s="2"/>
      <c r="E57" s="3"/>
      <c r="F57" s="3"/>
      <c r="G57" s="5"/>
      <c r="H57" s="5"/>
      <c r="I57" s="5"/>
      <c r="J57" s="3"/>
      <c r="K57" s="3"/>
      <c r="L57" s="6"/>
      <c r="M57" s="7"/>
      <c r="N57" s="8"/>
      <c r="O57" s="9"/>
      <c r="P57" s="10"/>
    </row>
    <row r="58" spans="2:16" ht="35.25" x14ac:dyDescent="0.25">
      <c r="B58" s="1"/>
      <c r="C58" s="2"/>
      <c r="D58" s="2"/>
      <c r="E58" s="3"/>
      <c r="F58" s="3"/>
      <c r="G58" s="5"/>
      <c r="H58" s="5"/>
      <c r="I58" s="5"/>
      <c r="J58" s="3"/>
      <c r="K58" s="3"/>
      <c r="L58" s="6"/>
      <c r="M58" s="7"/>
      <c r="N58" s="8"/>
      <c r="O58" s="9"/>
      <c r="P58" s="10"/>
    </row>
    <row r="59" spans="2:16" ht="35.25" x14ac:dyDescent="0.25">
      <c r="B59" s="1"/>
      <c r="C59" s="2"/>
      <c r="D59" s="2"/>
      <c r="E59" s="3"/>
      <c r="F59" s="3"/>
      <c r="G59" s="5"/>
      <c r="H59" s="5"/>
      <c r="I59" s="5"/>
      <c r="J59" s="3"/>
      <c r="K59" s="3"/>
      <c r="L59" s="6"/>
      <c r="M59" s="7"/>
      <c r="N59" s="8"/>
      <c r="O59" s="9"/>
      <c r="P59" s="10"/>
    </row>
    <row r="60" spans="2:16" ht="35.25" x14ac:dyDescent="0.25">
      <c r="B60" s="1"/>
      <c r="C60" s="2"/>
      <c r="D60" s="2"/>
      <c r="E60" s="3"/>
      <c r="F60" s="3"/>
      <c r="G60" s="5"/>
      <c r="H60" s="5"/>
      <c r="I60" s="5"/>
      <c r="J60" s="3"/>
      <c r="K60" s="3"/>
      <c r="L60" s="6"/>
      <c r="M60" s="7"/>
      <c r="N60" s="8"/>
      <c r="O60" s="9"/>
      <c r="P60" s="10"/>
    </row>
    <row r="61" spans="2:16" ht="35.25" x14ac:dyDescent="0.25">
      <c r="B61" s="1"/>
      <c r="C61" s="2"/>
      <c r="D61" s="2"/>
      <c r="E61" s="3"/>
      <c r="F61" s="3"/>
      <c r="G61" s="5"/>
      <c r="H61" s="5"/>
      <c r="I61" s="5"/>
      <c r="J61" s="3"/>
      <c r="K61" s="3"/>
      <c r="L61" s="6"/>
      <c r="M61" s="7"/>
      <c r="N61" s="8"/>
      <c r="O61" s="9"/>
      <c r="P61" s="10"/>
    </row>
    <row r="62" spans="2:16" ht="35.25" x14ac:dyDescent="0.25">
      <c r="B62" s="1"/>
      <c r="C62" s="2"/>
      <c r="D62" s="2"/>
      <c r="E62" s="3"/>
      <c r="F62" s="3"/>
      <c r="G62" s="5"/>
      <c r="H62" s="5"/>
      <c r="I62" s="5"/>
      <c r="J62" s="3"/>
      <c r="K62" s="3"/>
      <c r="L62" s="6"/>
      <c r="M62" s="7"/>
      <c r="N62" s="8"/>
      <c r="O62" s="9"/>
      <c r="P62" s="10"/>
    </row>
    <row r="63" spans="2:16" ht="35.25" x14ac:dyDescent="0.25">
      <c r="B63" s="1"/>
      <c r="C63" s="2"/>
      <c r="D63" s="2"/>
      <c r="E63" s="3"/>
      <c r="F63" s="3"/>
      <c r="G63" s="4"/>
      <c r="H63" s="4"/>
      <c r="I63" s="5"/>
      <c r="J63" s="3"/>
      <c r="K63" s="3"/>
      <c r="L63" s="6"/>
      <c r="M63" s="7"/>
      <c r="N63" s="8"/>
      <c r="O63" s="9"/>
      <c r="P63" s="10"/>
    </row>
  </sheetData>
  <sheetProtection formatCells="0" formatColumns="0" formatRows="0" insertColumns="0" insertRows="0" insertHyperlinks="0" deleteColumns="0" deleteRows="0" selectLockedCells="1" sort="0" autoFilter="0" pivotTables="0"/>
  <mergeCells count="6">
    <mergeCell ref="O36:P36"/>
    <mergeCell ref="O37:P37"/>
    <mergeCell ref="E3:J3"/>
    <mergeCell ref="L2:P2"/>
    <mergeCell ref="O4:P4"/>
    <mergeCell ref="O3:P3"/>
  </mergeCells>
  <conditionalFormatting sqref="B7:B31 K7:K31">
    <cfRule type="expression" dxfId="22" priority="22">
      <formula>$K7 = "i"</formula>
    </cfRule>
  </conditionalFormatting>
  <conditionalFormatting sqref="B7:B31 J7:J31">
    <cfRule type="expression" dxfId="21" priority="23">
      <formula>$J7 = "I"</formula>
    </cfRule>
  </conditionalFormatting>
  <conditionalFormatting sqref="G7:G31">
    <cfRule type="expression" dxfId="0" priority="7">
      <formula>AND(OR($G7="ppv1",$G7="ppv2",$G7="ppv3",$G7="ppv4",$G7="ppv5",$G7="ppv spare",$G7="apv",$G7="apdv",$G7="apv spare"),OR($J7="",$K7=""))</formula>
    </cfRule>
  </conditionalFormatting>
  <conditionalFormatting sqref="H7:H31">
    <cfRule type="expression" dxfId="1" priority="6">
      <formula>AND(OR($H7="ppv1",$H7="ppv2",$H7="ppv3",$H7="ppv4",$H7="ppv5",$H7="ppv spare",$H7="apv",$H7="apdv",$H7="apv spare"),OR($J7="",$K7=""))</formula>
    </cfRule>
  </conditionalFormatting>
  <conditionalFormatting sqref="I7:I31">
    <cfRule type="expression" dxfId="2" priority="5">
      <formula>AND(OR($I7="ppv1",$I7="ppv2",$I7="ppv3",$I7="ppv4",$I7="ppv5",$I7="ppv spare",$I7="apv",$I7="apdv",$I7="apv spare"),OR($J7="",$K7=""))</formula>
    </cfRule>
  </conditionalFormatting>
  <conditionalFormatting sqref="L7:L31">
    <cfRule type="expression" dxfId="20" priority="3">
      <formula>OR($G7="Vol",$H7="Vol",$I7="Vol")</formula>
    </cfRule>
  </conditionalFormatting>
  <conditionalFormatting sqref="B7:B31">
    <cfRule type="expression" dxfId="19" priority="4">
      <formula>OR($G7="Vol",$H7="Vol",$I7="Vol")</formula>
    </cfRule>
    <cfRule type="notContainsBlanks" dxfId="18" priority="24">
      <formula>LEN(TRIM(B7))&gt;0</formula>
    </cfRule>
    <cfRule type="expression" dxfId="17" priority="1">
      <formula>OR($G7="resa",$H7="resa",$I7="resa")</formula>
    </cfRule>
  </conditionalFormatting>
  <conditionalFormatting sqref="E7:E31">
    <cfRule type="cellIs" dxfId="16" priority="10" operator="equal">
      <formula>"x"</formula>
    </cfRule>
    <cfRule type="cellIs" dxfId="15" priority="11" operator="notEqual">
      <formula>""</formula>
    </cfRule>
    <cfRule type="cellIs" dxfId="14" priority="20" operator="equal">
      <formula>"x"</formula>
    </cfRule>
    <cfRule type="cellIs" dxfId="13" priority="21" operator="notEqual">
      <formula>""</formula>
    </cfRule>
  </conditionalFormatting>
  <conditionalFormatting sqref="F7:F31">
    <cfRule type="cellIs" dxfId="12" priority="8" operator="equal">
      <formula>"o2"</formula>
    </cfRule>
    <cfRule type="cellIs" dxfId="11" priority="9" operator="equal">
      <formula>"x"</formula>
    </cfRule>
    <cfRule type="cellIs" dxfId="10" priority="18" operator="equal">
      <formula>"o2"</formula>
    </cfRule>
    <cfRule type="cellIs" dxfId="9" priority="19" operator="equal">
      <formula>"x"</formula>
    </cfRule>
  </conditionalFormatting>
  <conditionalFormatting sqref="L7:N31">
    <cfRule type="expression" dxfId="8" priority="15">
      <formula>$N7&lt;&gt;""</formula>
    </cfRule>
    <cfRule type="expression" dxfId="7" priority="16">
      <formula>$M7&lt;&gt;""</formula>
    </cfRule>
    <cfRule type="expression" dxfId="6" priority="17">
      <formula>$L7&lt;&gt;""</formula>
    </cfRule>
  </conditionalFormatting>
  <conditionalFormatting sqref="P7:Q7 Q8:Q23 P8:P31">
    <cfRule type="expression" dxfId="5" priority="12">
      <formula>$Q7="v"</formula>
    </cfRule>
    <cfRule type="expression" dxfId="4" priority="13">
      <formula>$P7&lt;&gt;""</formula>
    </cfRule>
    <cfRule type="expression" dxfId="3" priority="14">
      <formula>$Q7="x"</formula>
    </cfRule>
  </conditionalFormatting>
  <pageMargins left="0.7" right="0.7" top="0.75" bottom="0.75" header="0.3" footer="0.3"/>
  <pageSetup paperSize="9" scale="4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Exit1">
          <controlPr defaultSize="0" print="0" autoLine="0" autoPict="0" r:id="rId5">
            <anchor moveWithCells="1" sizeWithCells="1">
              <from>
                <xdr:col>1</xdr:col>
                <xdr:colOff>28575</xdr:colOff>
                <xdr:row>1</xdr:row>
                <xdr:rowOff>95250</xdr:rowOff>
              </from>
              <to>
                <xdr:col>1</xdr:col>
                <xdr:colOff>781050</xdr:colOff>
                <xdr:row>3</xdr:row>
                <xdr:rowOff>123825</xdr:rowOff>
              </to>
            </anchor>
          </controlPr>
        </control>
      </mc:Choice>
      <mc:Fallback>
        <control shapeId="1026" r:id="rId4" name="Exit1"/>
      </mc:Fallback>
    </mc:AlternateContent>
    <mc:AlternateContent xmlns:mc="http://schemas.openxmlformats.org/markup-compatibility/2006">
      <mc:Choice Requires="x14">
        <control shapeId="1129" r:id="rId6" name="FullScr">
          <controlPr defaultSize="0" print="0" autoLine="0" autoPict="0" r:id="rId7">
            <anchor moveWithCells="1" sizeWithCells="1">
              <from>
                <xdr:col>1</xdr:col>
                <xdr:colOff>876300</xdr:colOff>
                <xdr:row>1</xdr:row>
                <xdr:rowOff>95250</xdr:rowOff>
              </from>
              <to>
                <xdr:col>3</xdr:col>
                <xdr:colOff>476250</xdr:colOff>
                <xdr:row>3</xdr:row>
                <xdr:rowOff>123825</xdr:rowOff>
              </to>
            </anchor>
          </controlPr>
        </control>
      </mc:Choice>
      <mc:Fallback>
        <control shapeId="1129" r:id="rId6" name="FullScr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'C:\Suivi conf avion\[piste - V3.xlsm]Paramètre'!#REF!</xm:f>
          </x14:formula1>
          <xm:sqref>L41:L60 N41:N60 E41:I60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00000000-0002-0000-0000-000002000000}">
          <x14:formula1>
            <xm:f>'C:\Suivi conf avion\[piste - V3.xlsm]Paramètre'!#REF!</xm:f>
          </x14:formula1>
          <xm:sqref>J41:K60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00000000-0002-0000-0000-000003000000}">
          <x14:formula1>
            <xm:f>'C:\Suivi conf avion\[piste - V3.xlsm]Paramètre'!#REF!</xm:f>
          </x14:formula1>
          <xm:sqref>B41:B60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Y105"/>
  <sheetViews>
    <sheetView topLeftCell="A2" zoomScaleNormal="100" workbookViewId="0">
      <selection sqref="A1:Z1"/>
    </sheetView>
  </sheetViews>
  <sheetFormatPr baseColWidth="10" defaultRowHeight="28.5" x14ac:dyDescent="0.45"/>
  <cols>
    <col min="1" max="1" width="2" style="124" customWidth="1"/>
    <col min="2" max="2" width="13.85546875" style="124" customWidth="1"/>
    <col min="3" max="3" width="4.85546875" style="124" customWidth="1"/>
    <col min="4" max="5" width="7.85546875" style="124" customWidth="1"/>
    <col min="6" max="6" width="7.85546875" style="128" customWidth="1"/>
    <col min="7" max="19" width="7.85546875" style="124" customWidth="1"/>
    <col min="20" max="20" width="9.28515625" style="124" customWidth="1"/>
    <col min="21" max="16384" width="11.42578125" style="124"/>
  </cols>
  <sheetData>
    <row r="1" spans="1:25" hidden="1" x14ac:dyDescent="0.45">
      <c r="A1" s="121"/>
      <c r="B1" s="121"/>
      <c r="C1" s="121"/>
      <c r="D1" s="121"/>
      <c r="E1" s="121"/>
      <c r="F1" s="122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3"/>
      <c r="R1" s="121"/>
      <c r="S1" s="121"/>
      <c r="T1" s="121"/>
      <c r="U1" s="121"/>
      <c r="V1" s="121"/>
      <c r="W1" s="121"/>
      <c r="X1" s="123"/>
      <c r="Y1" s="121"/>
    </row>
    <row r="2" spans="1:25" ht="307.5" customHeight="1" x14ac:dyDescent="0.45">
      <c r="A2" s="121"/>
      <c r="B2" s="121"/>
      <c r="C2" s="121"/>
      <c r="D2" s="121"/>
      <c r="E2" s="121"/>
      <c r="F2" s="122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</row>
    <row r="3" spans="1:25" hidden="1" x14ac:dyDescent="0.45">
      <c r="A3" s="121"/>
      <c r="B3" s="121"/>
      <c r="C3" s="121"/>
      <c r="D3" s="121"/>
      <c r="E3" s="121"/>
      <c r="F3" s="122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</row>
    <row r="4" spans="1:25" ht="15.75" customHeight="1" x14ac:dyDescent="0.45">
      <c r="A4" s="121"/>
      <c r="B4" s="121"/>
      <c r="C4" s="121"/>
      <c r="D4" s="121"/>
      <c r="E4" s="121"/>
      <c r="F4" s="122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</row>
    <row r="5" spans="1:25" ht="12.75" customHeight="1" x14ac:dyDescent="0.45">
      <c r="A5" s="121"/>
      <c r="B5" s="121"/>
      <c r="C5" s="121"/>
      <c r="D5" s="121"/>
      <c r="E5" s="121"/>
      <c r="F5" s="122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</row>
    <row r="6" spans="1:25" ht="10.5" customHeight="1" x14ac:dyDescent="0.45">
      <c r="A6" s="121"/>
      <c r="B6" s="121"/>
      <c r="C6" s="121"/>
      <c r="D6" s="121"/>
      <c r="E6" s="121"/>
      <c r="F6" s="122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</row>
    <row r="7" spans="1:25" ht="16.5" customHeight="1" x14ac:dyDescent="0.45">
      <c r="A7" s="121"/>
      <c r="B7" s="121"/>
      <c r="C7" s="121"/>
      <c r="D7" s="121"/>
      <c r="E7" s="121"/>
      <c r="F7" s="122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</row>
    <row r="8" spans="1:25" ht="30" customHeight="1" x14ac:dyDescent="0.45">
      <c r="A8" s="121"/>
      <c r="B8" s="47"/>
      <c r="C8" s="47"/>
      <c r="D8" s="53" t="str">
        <f>IFERROR(VLOOKUP(Pos!F7,Pos!A1:B47,2,FALSE),"")</f>
        <v/>
      </c>
      <c r="E8" s="53">
        <f>IFERROR(VLOOKUP(Pos!F8,Pos!A1:B47,2,FALSE),"")</f>
        <v>90</v>
      </c>
      <c r="F8" s="53" t="str">
        <f>IFERROR(VLOOKUP(Pos!F9,Pos!A1:B47,2,FALSE),"")</f>
        <v/>
      </c>
      <c r="G8" s="53">
        <f>IFERROR(VLOOKUP(Pos!F10,Pos!A1:B47,2,FALSE),"")</f>
        <v>86</v>
      </c>
      <c r="H8" s="53" t="str">
        <f>IFERROR(VLOOKUP(Pos!F11,Pos!A1:B47,2,FALSE),"")</f>
        <v/>
      </c>
      <c r="I8" s="53">
        <f>IFERROR(VLOOKUP(Pos!F12,Pos!A1:B47,2,FALSE),"")</f>
        <v>68</v>
      </c>
      <c r="J8" s="53" t="str">
        <f>IFERROR(VLOOKUP(Pos!F13,Pos!A1:B47,2,FALSE),"")</f>
        <v/>
      </c>
      <c r="K8" s="53">
        <f>IFERROR(VLOOKUP(Pos!F14,Pos!A1:B47,2,FALSE),"")</f>
        <v>108</v>
      </c>
      <c r="L8" s="53">
        <f>IFERROR(VLOOKUP(Pos!F15,Pos!A1:B47,2,FALSE),"")</f>
        <v>81</v>
      </c>
      <c r="M8" s="53">
        <f>IFERROR(VLOOKUP(Pos!F16,Pos!A1:B47,2,FALSE),"")</f>
        <v>83</v>
      </c>
      <c r="N8" s="54" t="str">
        <f>IFERROR(VLOOKUP(Pos!F17,Pos!A1:B47,2,FALSE),"")</f>
        <v/>
      </c>
      <c r="O8" s="53" t="str">
        <f>IFERROR(VLOOKUP(Pos!F18,Pos!A1:B47,2,FALSE),"")</f>
        <v/>
      </c>
      <c r="P8" s="53" t="str">
        <f>IFERROR(VLOOKUP(Pos!F19,Pos!A1:B47,2,FALSE),"")</f>
        <v/>
      </c>
      <c r="Q8" s="53" t="str">
        <f>IFERROR(VLOOKUP(Pos!F20,Pos!A1:B47,2,FALSE),"")</f>
        <v/>
      </c>
      <c r="R8" s="53" t="str">
        <f>IFERROR(VLOOKUP(Pos!F21,Pos!A1:B47,2,FALSE),"")</f>
        <v/>
      </c>
      <c r="S8" s="53" t="str">
        <f>IFERROR(VLOOKUP(Pos!F22,Pos!A1:B47,2,FALSE),"")</f>
        <v/>
      </c>
      <c r="T8" s="121"/>
      <c r="U8" s="121"/>
      <c r="V8" s="121"/>
      <c r="W8" s="121"/>
      <c r="X8" s="121"/>
      <c r="Y8" s="121"/>
    </row>
    <row r="9" spans="1:25" ht="24.75" customHeight="1" x14ac:dyDescent="0.45">
      <c r="A9" s="121"/>
      <c r="B9" s="121"/>
      <c r="C9" s="121"/>
      <c r="D9" s="121"/>
      <c r="E9" s="121"/>
      <c r="F9" s="122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</row>
    <row r="10" spans="1:25" ht="15" customHeight="1" x14ac:dyDescent="0.45">
      <c r="A10" s="121"/>
      <c r="B10" s="121"/>
      <c r="C10" s="121"/>
      <c r="D10" s="121"/>
      <c r="E10" s="121"/>
      <c r="F10" s="122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</row>
    <row r="11" spans="1:25" ht="12.75" customHeight="1" x14ac:dyDescent="0.45">
      <c r="A11" s="121"/>
      <c r="B11" s="121"/>
      <c r="C11" s="121"/>
      <c r="D11" s="121"/>
      <c r="E11" s="121"/>
      <c r="F11" s="122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</row>
    <row r="12" spans="1:25" ht="12" customHeight="1" x14ac:dyDescent="0.45">
      <c r="A12" s="121"/>
      <c r="B12" s="121"/>
      <c r="C12" s="121"/>
      <c r="D12" s="121"/>
      <c r="E12" s="121"/>
      <c r="F12" s="122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</row>
    <row r="13" spans="1:25" ht="12" customHeight="1" x14ac:dyDescent="0.45">
      <c r="A13" s="121"/>
      <c r="B13" s="121"/>
      <c r="C13" s="121"/>
      <c r="D13" s="121"/>
      <c r="E13" s="121"/>
      <c r="F13" s="122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</row>
    <row r="14" spans="1:25" ht="12" customHeight="1" x14ac:dyDescent="0.45">
      <c r="A14" s="121"/>
      <c r="B14" s="121"/>
      <c r="C14" s="121"/>
      <c r="D14" s="121"/>
      <c r="E14" s="121"/>
      <c r="F14" s="122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</row>
    <row r="15" spans="1:25" ht="11.25" customHeight="1" x14ac:dyDescent="0.45">
      <c r="A15" s="121"/>
      <c r="B15" s="121"/>
      <c r="C15" s="121"/>
      <c r="D15" s="121"/>
      <c r="E15" s="121"/>
      <c r="F15" s="122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</row>
    <row r="16" spans="1:25" ht="14.25" customHeight="1" x14ac:dyDescent="0.45">
      <c r="A16" s="121"/>
      <c r="B16" s="121"/>
      <c r="C16" s="121"/>
      <c r="D16" s="121"/>
      <c r="E16" s="121"/>
      <c r="F16" s="122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</row>
    <row r="17" spans="1:25" ht="9" customHeight="1" thickBot="1" x14ac:dyDescent="0.5">
      <c r="A17" s="121"/>
      <c r="B17" s="121"/>
      <c r="C17" s="121"/>
      <c r="D17" s="121"/>
      <c r="E17" s="121"/>
      <c r="F17" s="122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</row>
    <row r="18" spans="1:25" ht="30" customHeight="1" thickTop="1" thickBot="1" x14ac:dyDescent="0.5">
      <c r="A18" s="121"/>
      <c r="B18" s="47"/>
      <c r="C18" s="47"/>
      <c r="D18" s="53" t="str">
        <f>IFERROR(VLOOKUP(Pos!F6,Pos!A1:B47,2,FALSE),"")</f>
        <v/>
      </c>
      <c r="E18" s="53" t="str">
        <f>IFERROR(VLOOKUP(Pos!F5,Pos!A1:B47,2,FALSE),"")</f>
        <v/>
      </c>
      <c r="F18" s="53" t="str">
        <f>IFERROR(VLOOKUP(Pos!F4,Pos!A1:B47,2,FALSE),"")</f>
        <v/>
      </c>
      <c r="G18" s="53" t="str">
        <f>IFERROR(VLOOKUP(Pos!F3,Pos!A1:B47,2,FALSE),"")</f>
        <v/>
      </c>
      <c r="H18" s="53" t="str">
        <f>IFERROR(VLOOKUP(Pos!F2,Pos!A1:B47,2,FALSE),"")</f>
        <v/>
      </c>
      <c r="I18" s="53" t="str">
        <f>IFERROR(VLOOKUP(Pos!F1,Pos!A1:B47,2,FALSE),"")</f>
        <v/>
      </c>
      <c r="J18" s="47"/>
      <c r="K18" s="47"/>
      <c r="L18" s="47"/>
      <c r="M18" s="47"/>
      <c r="N18" s="47"/>
      <c r="O18" s="121"/>
      <c r="P18" s="146" t="s">
        <v>46</v>
      </c>
      <c r="Q18" s="147"/>
      <c r="R18" s="125" t="str">
        <f>IFERROR(VLOOKUP(Pos!F33,Pos!A1:B47,2,FALSE),"")</f>
        <v/>
      </c>
      <c r="S18" s="121"/>
      <c r="T18" s="121"/>
      <c r="U18" s="121"/>
      <c r="V18" s="121"/>
      <c r="W18" s="121"/>
      <c r="X18" s="121"/>
      <c r="Y18" s="121"/>
    </row>
    <row r="19" spans="1:25" ht="15" customHeight="1" thickTop="1" x14ac:dyDescent="0.45">
      <c r="A19" s="121"/>
      <c r="B19" s="121"/>
      <c r="C19" s="121"/>
      <c r="D19" s="121"/>
      <c r="E19" s="121"/>
      <c r="F19" s="122"/>
      <c r="G19" s="121"/>
      <c r="H19" s="121"/>
      <c r="I19" s="126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</row>
    <row r="20" spans="1:25" ht="9" customHeight="1" x14ac:dyDescent="0.45">
      <c r="A20" s="121"/>
      <c r="B20" s="121"/>
      <c r="C20" s="121"/>
      <c r="D20" s="121"/>
      <c r="E20" s="121"/>
      <c r="F20" s="122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</row>
    <row r="21" spans="1:25" ht="10.5" customHeight="1" x14ac:dyDescent="0.45">
      <c r="A21" s="121"/>
      <c r="B21" s="121"/>
      <c r="C21" s="121"/>
      <c r="D21" s="121"/>
      <c r="E21" s="121"/>
      <c r="F21" s="122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</row>
    <row r="22" spans="1:25" ht="13.5" customHeight="1" x14ac:dyDescent="0.45">
      <c r="A22" s="121"/>
      <c r="B22" s="121"/>
      <c r="C22" s="121"/>
      <c r="D22" s="121"/>
      <c r="E22" s="121"/>
      <c r="F22" s="122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</row>
    <row r="23" spans="1:25" ht="14.25" customHeight="1" x14ac:dyDescent="0.45">
      <c r="A23" s="121"/>
      <c r="B23" s="121"/>
      <c r="C23" s="121"/>
      <c r="D23" s="121"/>
      <c r="E23" s="121"/>
      <c r="F23" s="122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</row>
    <row r="24" spans="1:25" x14ac:dyDescent="0.45">
      <c r="A24" s="121"/>
      <c r="B24" s="47"/>
      <c r="C24" s="47"/>
      <c r="D24" s="47"/>
      <c r="E24" s="47"/>
      <c r="F24" s="55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121"/>
      <c r="W24" s="121"/>
      <c r="X24" s="121"/>
      <c r="Y24" s="121"/>
    </row>
    <row r="25" spans="1:25" ht="17.25" customHeight="1" x14ac:dyDescent="0.45">
      <c r="A25" s="121"/>
      <c r="B25" s="47"/>
      <c r="C25" s="47"/>
      <c r="D25" s="47"/>
      <c r="E25" s="47"/>
      <c r="F25" s="55"/>
      <c r="G25" s="47"/>
      <c r="H25" s="127"/>
      <c r="I25" s="12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121"/>
      <c r="W25" s="121"/>
      <c r="X25" s="121"/>
      <c r="Y25" s="121"/>
    </row>
    <row r="26" spans="1:25" ht="9" customHeight="1" x14ac:dyDescent="0.45">
      <c r="A26" s="121"/>
      <c r="B26" s="47"/>
      <c r="C26" s="47"/>
      <c r="D26" s="47"/>
      <c r="E26" s="47"/>
      <c r="F26" s="55"/>
      <c r="G26" s="47"/>
      <c r="H26" s="55"/>
      <c r="I26" s="55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121"/>
      <c r="W26" s="121"/>
      <c r="X26" s="121"/>
      <c r="Y26" s="121"/>
    </row>
    <row r="27" spans="1:25" ht="21.75" customHeight="1" x14ac:dyDescent="0.45">
      <c r="A27" s="121"/>
      <c r="B27" s="47"/>
      <c r="C27" s="47"/>
      <c r="D27" s="55"/>
      <c r="E27" s="55" t="str">
        <f>IFERROR(VLOOKUP(Pos!F23,Pos!A1:B47,2,FALSE),"")</f>
        <v/>
      </c>
      <c r="F27" s="55"/>
      <c r="G27" s="47"/>
      <c r="H27" s="55"/>
      <c r="I27" s="55" t="str">
        <f>IFERROR(VLOOKUP(Pos!G23,Pos!A1:B47,2,FALSE),"")</f>
        <v/>
      </c>
      <c r="J27" s="55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121"/>
      <c r="W27" s="121"/>
      <c r="X27" s="121"/>
      <c r="Y27" s="121"/>
    </row>
    <row r="28" spans="1:25" ht="20.25" customHeight="1" x14ac:dyDescent="0.45">
      <c r="A28" s="121"/>
      <c r="B28" s="47"/>
      <c r="C28" s="47"/>
      <c r="D28" s="55"/>
      <c r="E28" s="55"/>
      <c r="F28" s="55"/>
      <c r="G28" s="47"/>
      <c r="H28" s="55"/>
      <c r="I28" s="55"/>
      <c r="J28" s="55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121"/>
      <c r="W28" s="121"/>
      <c r="X28" s="121"/>
      <c r="Y28" s="121"/>
    </row>
    <row r="29" spans="1:25" ht="22.5" customHeight="1" x14ac:dyDescent="0.45">
      <c r="A29" s="121"/>
      <c r="B29" s="47"/>
      <c r="C29" s="47"/>
      <c r="D29" s="55" t="str">
        <f>IFERROR(VLOOKUP(Pos!F25,Pos!A1:B47,2,FALSE),"")</f>
        <v/>
      </c>
      <c r="E29" s="55" t="str">
        <f>IFERROR(VLOOKUP(Pos!F24,Pos!A1:B47,2,FALSE),"")</f>
        <v/>
      </c>
      <c r="F29" s="55" t="str">
        <f>IFERROR(VLOOKUP(Pos!F26,Pos!A1:B47,2,FALSE),"")</f>
        <v/>
      </c>
      <c r="G29" s="47"/>
      <c r="H29" s="55">
        <f>IFERROR(VLOOKUP(Pos!G25,Pos!A1:B47,2,FALSE),"")</f>
        <v>54</v>
      </c>
      <c r="I29" s="55" t="str">
        <f>IFERROR(VLOOKUP(Pos!G24,Pos!A1:B47,2,FALSE),"")</f>
        <v/>
      </c>
      <c r="J29" s="55" t="str">
        <f>IFERROR(VLOOKUP(Pos!G26,Pos!A1:B47,2,FALSE),"")</f>
        <v/>
      </c>
      <c r="K29" s="47"/>
      <c r="L29" s="55">
        <f>IFERROR(VLOOKUP(Pos!H25,Pos!A1:B47,2,FALSE),"")</f>
        <v>82</v>
      </c>
      <c r="M29" s="55" t="str">
        <f>IFERROR(VLOOKUP(Pos!H23,Pos!A1:B47,2,FALSE),"")</f>
        <v/>
      </c>
      <c r="N29" s="56">
        <f>IFERROR(VLOOKUP(Pos!H24,Pos!A1:B47,2,FALSE),"")</f>
        <v>74</v>
      </c>
      <c r="O29" s="47"/>
      <c r="P29" s="55" t="str">
        <f>IFERROR(VLOOKUP(Pos!I25,Pos!A1:B47,2,FALSE),"")</f>
        <v>x98</v>
      </c>
      <c r="Q29" s="55" t="str">
        <f>IFERROR(VLOOKUP(Pos!I23,Pos!A1:B47,2,FALSE),"")</f>
        <v/>
      </c>
      <c r="R29" s="55" t="str">
        <f>IFERROR(VLOOKUP(Pos!I24,Pos!A1:B47,2,FALSE),"")</f>
        <v/>
      </c>
      <c r="S29" s="47"/>
      <c r="T29" s="47"/>
      <c r="U29" s="47"/>
      <c r="V29" s="45"/>
      <c r="W29" s="121"/>
      <c r="X29" s="121"/>
      <c r="Y29" s="121"/>
    </row>
    <row r="30" spans="1:25" ht="18.75" customHeight="1" x14ac:dyDescent="0.45">
      <c r="A30" s="121"/>
      <c r="B30" s="47"/>
      <c r="C30" s="47"/>
      <c r="D30" s="55"/>
      <c r="E30" s="55"/>
      <c r="F30" s="56"/>
      <c r="G30" s="47"/>
      <c r="H30" s="55"/>
      <c r="I30" s="55"/>
      <c r="J30" s="55"/>
      <c r="K30" s="47"/>
      <c r="L30" s="55"/>
      <c r="M30" s="55"/>
      <c r="N30" s="56"/>
      <c r="O30" s="47"/>
      <c r="P30" s="55"/>
      <c r="Q30" s="55"/>
      <c r="R30" s="55"/>
      <c r="S30" s="47"/>
      <c r="T30" s="47"/>
      <c r="U30" s="47"/>
      <c r="V30" s="121"/>
      <c r="W30" s="121"/>
      <c r="X30" s="121"/>
      <c r="Y30" s="121"/>
    </row>
    <row r="31" spans="1:25" ht="25.5" customHeight="1" x14ac:dyDescent="0.45">
      <c r="A31" s="121"/>
      <c r="B31" s="47"/>
      <c r="C31" s="47"/>
      <c r="D31" s="55" t="str">
        <f>IFERROR(VLOOKUP(Pos!F28,Pos!A1:B47,2,FALSE),"")</f>
        <v/>
      </c>
      <c r="E31" s="55" t="str">
        <f>IFERROR(VLOOKUP(Pos!F27,Pos!A1:B47,2,FALSE),"")</f>
        <v/>
      </c>
      <c r="F31" s="55" t="str">
        <f>IFERROR(VLOOKUP(Pos!F29,Pos!A1:B47,2,FALSE),"")</f>
        <v/>
      </c>
      <c r="G31" s="47"/>
      <c r="H31" s="55">
        <f>IFERROR(VLOOKUP(Pos!G28,Pos!A1:B47,2,FALSE),"")</f>
        <v>96</v>
      </c>
      <c r="I31" s="55">
        <f>IFERROR(VLOOKUP(Pos!G27,Pos!A1:B47,2,FALSE),"")</f>
        <v>79</v>
      </c>
      <c r="J31" s="55">
        <f>IFERROR(VLOOKUP(Pos!G29,Pos!A1:B47,2,FALSE),"")</f>
        <v>91</v>
      </c>
      <c r="K31" s="47"/>
      <c r="L31" s="55" t="str">
        <f>IFERROR(VLOOKUP(Pos!H28,Pos!A1:B47,2,FALSE),"")</f>
        <v/>
      </c>
      <c r="M31" s="55" t="str">
        <f>IFERROR(VLOOKUP(Pos!H26,Pos!A1:B47,2,FALSE),"")</f>
        <v/>
      </c>
      <c r="N31" s="56" t="str">
        <f>IFERROR(VLOOKUP(Pos!H27,Pos!A1:B47,2,FALSE),"")</f>
        <v/>
      </c>
      <c r="O31" s="47"/>
      <c r="P31" s="55" t="str">
        <f>IFERROR(VLOOKUP(Pos!I28,Pos!A1:B47,2,FALSE),"")</f>
        <v/>
      </c>
      <c r="Q31" s="55" t="str">
        <f>IFERROR(VLOOKUP(Pos!I26,Pos!A1:B47,2,FALSE),"")</f>
        <v/>
      </c>
      <c r="R31" s="55" t="str">
        <f>IFERROR(VLOOKUP(Pos!I27,Pos!A1:B47,2,FALSE),"")</f>
        <v/>
      </c>
      <c r="S31" s="47"/>
      <c r="T31" s="47"/>
      <c r="U31" s="47"/>
      <c r="V31" s="121"/>
      <c r="W31" s="121"/>
      <c r="X31" s="121"/>
      <c r="Y31" s="121"/>
    </row>
    <row r="32" spans="1:25" ht="24" customHeight="1" x14ac:dyDescent="0.45">
      <c r="A32" s="121"/>
      <c r="B32" s="47"/>
      <c r="C32" s="47"/>
      <c r="D32" s="55"/>
      <c r="E32" s="55"/>
      <c r="F32" s="55"/>
      <c r="G32" s="47"/>
      <c r="H32" s="55"/>
      <c r="I32" s="55"/>
      <c r="J32" s="55"/>
      <c r="K32" s="47"/>
      <c r="L32" s="55"/>
      <c r="M32" s="55"/>
      <c r="N32" s="56"/>
      <c r="O32" s="47"/>
      <c r="P32" s="55"/>
      <c r="Q32" s="55"/>
      <c r="R32" s="55"/>
      <c r="S32" s="47"/>
      <c r="T32" s="47"/>
      <c r="U32" s="47"/>
      <c r="V32" s="121"/>
      <c r="W32" s="121"/>
      <c r="X32" s="121"/>
      <c r="Y32" s="121"/>
    </row>
    <row r="33" spans="1:25" ht="24" customHeight="1" x14ac:dyDescent="0.45">
      <c r="A33" s="121"/>
      <c r="B33" s="47"/>
      <c r="C33" s="47"/>
      <c r="D33" s="55" t="str">
        <f>IFERROR(VLOOKUP(Pos!F31,Pos!A1:B47,2,FALSE),"")</f>
        <v/>
      </c>
      <c r="E33" s="55" t="str">
        <f>IFERROR(VLOOKUP(Pos!F30,Pos!A1:B47,2,FALSE),"")</f>
        <v/>
      </c>
      <c r="F33" s="55"/>
      <c r="G33" s="47"/>
      <c r="H33" s="55">
        <f>IFERROR(VLOOKUP(Pos!G31,Pos!A1:B47,2,FALSE),"")</f>
        <v>66</v>
      </c>
      <c r="I33" s="55">
        <f>IFERROR(VLOOKUP(Pos!G30,Pos!A1:B47,2,FALSE),"")</f>
        <v>102</v>
      </c>
      <c r="J33" s="55">
        <f>IFERROR(VLOOKUP(Pos!G32,Pos!A1:B47,2,FALSE),"")</f>
        <v>75</v>
      </c>
      <c r="K33" s="47"/>
      <c r="L33" s="55" t="str">
        <f>IFERROR(VLOOKUP(Pos!H29,Pos!A1:B47,2,FALSE),"")</f>
        <v>x105</v>
      </c>
      <c r="M33" s="55"/>
      <c r="N33" s="56" t="str">
        <f>IFERROR(VLOOKUP(Pos!H30,Pos!A1:B47,2,FALSE),"")</f>
        <v>x92</v>
      </c>
      <c r="O33" s="47"/>
      <c r="P33" s="55" t="str">
        <f>IFERROR(VLOOKUP(Pos!I29,Pos!A1:B47,2,FALSE),"")</f>
        <v/>
      </c>
      <c r="Q33" s="55"/>
      <c r="R33" s="55" t="str">
        <f>IFERROR(VLOOKUP(Pos!I30,Pos!A1:B47,2,FALSE),"")</f>
        <v>x85</v>
      </c>
      <c r="S33" s="47"/>
      <c r="T33" s="47"/>
      <c r="U33" s="47"/>
      <c r="V33" s="121"/>
      <c r="W33" s="121"/>
      <c r="X33" s="121"/>
      <c r="Y33" s="121"/>
    </row>
    <row r="34" spans="1:25" x14ac:dyDescent="0.45">
      <c r="A34" s="121"/>
      <c r="B34" s="47"/>
      <c r="C34" s="47"/>
      <c r="D34" s="47"/>
      <c r="E34" s="47"/>
      <c r="F34" s="55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121"/>
      <c r="W34" s="121"/>
      <c r="X34" s="121"/>
      <c r="Y34" s="121"/>
    </row>
    <row r="35" spans="1:25" x14ac:dyDescent="0.45">
      <c r="A35" s="121"/>
      <c r="B35" s="47"/>
      <c r="C35" s="47"/>
      <c r="D35" s="47"/>
      <c r="E35" s="47"/>
      <c r="F35" s="55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121"/>
      <c r="W35" s="121"/>
      <c r="X35" s="121"/>
      <c r="Y35" s="121"/>
    </row>
    <row r="36" spans="1:25" x14ac:dyDescent="0.45">
      <c r="A36" s="121"/>
      <c r="B36" s="47"/>
      <c r="C36" s="47"/>
      <c r="D36" s="47"/>
      <c r="E36" s="47"/>
      <c r="F36" s="55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121"/>
      <c r="W36" s="121"/>
      <c r="X36" s="121"/>
      <c r="Y36" s="121"/>
    </row>
    <row r="37" spans="1:25" x14ac:dyDescent="0.45">
      <c r="A37" s="121"/>
      <c r="B37" s="121"/>
      <c r="C37" s="121"/>
      <c r="D37" s="121"/>
      <c r="E37" s="121"/>
      <c r="F37" s="122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</row>
    <row r="38" spans="1:25" x14ac:dyDescent="0.45">
      <c r="A38" s="121"/>
      <c r="B38" s="121"/>
      <c r="C38" s="121"/>
      <c r="D38" s="121"/>
      <c r="E38" s="121"/>
      <c r="F38" s="122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</row>
    <row r="39" spans="1:25" x14ac:dyDescent="0.45">
      <c r="A39" s="121"/>
      <c r="B39" s="121"/>
      <c r="C39" s="121"/>
      <c r="D39" s="121"/>
      <c r="E39" s="121"/>
      <c r="F39" s="122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</row>
    <row r="40" spans="1:25" x14ac:dyDescent="0.45">
      <c r="A40" s="121"/>
      <c r="B40" s="121"/>
      <c r="C40" s="121"/>
      <c r="D40" s="121"/>
      <c r="E40" s="121"/>
      <c r="F40" s="122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</row>
    <row r="41" spans="1:25" x14ac:dyDescent="0.45">
      <c r="A41" s="121"/>
      <c r="B41" s="121"/>
      <c r="C41" s="121"/>
      <c r="D41" s="121"/>
      <c r="E41" s="121"/>
      <c r="F41" s="122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</row>
    <row r="42" spans="1:25" x14ac:dyDescent="0.45">
      <c r="A42" s="121"/>
      <c r="B42" s="121"/>
      <c r="C42" s="121"/>
      <c r="D42" s="121"/>
      <c r="E42" s="121"/>
      <c r="F42" s="122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</row>
    <row r="43" spans="1:25" x14ac:dyDescent="0.45">
      <c r="A43" s="121"/>
      <c r="B43" s="121"/>
      <c r="C43" s="121"/>
      <c r="D43" s="121"/>
      <c r="E43" s="121"/>
      <c r="F43" s="122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</row>
    <row r="44" spans="1:25" x14ac:dyDescent="0.45">
      <c r="A44" s="121"/>
      <c r="B44" s="121"/>
      <c r="C44" s="121"/>
      <c r="D44" s="121"/>
      <c r="E44" s="121"/>
      <c r="F44" s="122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</row>
    <row r="45" spans="1:25" x14ac:dyDescent="0.45">
      <c r="A45" s="121"/>
      <c r="B45" s="121"/>
      <c r="C45" s="121"/>
      <c r="D45" s="121"/>
      <c r="E45" s="121"/>
      <c r="F45" s="122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</row>
    <row r="46" spans="1:25" x14ac:dyDescent="0.45">
      <c r="A46" s="121"/>
      <c r="B46" s="121"/>
      <c r="C46" s="121"/>
      <c r="D46" s="121"/>
      <c r="E46" s="121"/>
      <c r="F46" s="122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</row>
    <row r="47" spans="1:25" x14ac:dyDescent="0.45">
      <c r="A47" s="121"/>
      <c r="B47" s="121"/>
      <c r="C47" s="121"/>
      <c r="D47" s="121"/>
      <c r="E47" s="121"/>
      <c r="F47" s="122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</row>
    <row r="48" spans="1:25" x14ac:dyDescent="0.45">
      <c r="A48" s="121"/>
      <c r="B48" s="121"/>
      <c r="C48" s="121"/>
      <c r="D48" s="121"/>
      <c r="E48" s="121"/>
      <c r="F48" s="122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</row>
    <row r="49" spans="1:25" x14ac:dyDescent="0.45">
      <c r="A49" s="121"/>
      <c r="B49" s="121"/>
      <c r="C49" s="121"/>
      <c r="D49" s="121"/>
      <c r="E49" s="121"/>
      <c r="F49" s="122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</row>
    <row r="50" spans="1:25" x14ac:dyDescent="0.45">
      <c r="A50" s="121"/>
      <c r="B50" s="121"/>
      <c r="C50" s="121"/>
      <c r="D50" s="121"/>
      <c r="E50" s="121"/>
      <c r="F50" s="122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</row>
    <row r="51" spans="1:25" x14ac:dyDescent="0.45">
      <c r="A51" s="121"/>
      <c r="B51" s="121"/>
      <c r="C51" s="121"/>
      <c r="D51" s="121"/>
      <c r="E51" s="121"/>
      <c r="F51" s="122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</row>
    <row r="52" spans="1:25" x14ac:dyDescent="0.45">
      <c r="A52" s="121"/>
      <c r="B52" s="121"/>
      <c r="C52" s="121"/>
      <c r="D52" s="121"/>
      <c r="E52" s="121"/>
      <c r="F52" s="122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</row>
    <row r="53" spans="1:25" x14ac:dyDescent="0.45">
      <c r="A53" s="121"/>
      <c r="B53" s="121"/>
      <c r="C53" s="121"/>
      <c r="D53" s="121"/>
      <c r="E53" s="121"/>
      <c r="F53" s="122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</row>
    <row r="54" spans="1:25" x14ac:dyDescent="0.45">
      <c r="A54" s="121"/>
      <c r="B54" s="121"/>
      <c r="C54" s="121"/>
      <c r="D54" s="121"/>
      <c r="E54" s="121"/>
      <c r="F54" s="122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</row>
    <row r="55" spans="1:25" x14ac:dyDescent="0.45">
      <c r="A55" s="121"/>
      <c r="B55" s="121"/>
      <c r="C55" s="121"/>
      <c r="D55" s="121"/>
      <c r="E55" s="121"/>
      <c r="F55" s="122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</row>
    <row r="56" spans="1:25" x14ac:dyDescent="0.45">
      <c r="A56" s="121"/>
      <c r="B56" s="121"/>
      <c r="C56" s="121"/>
      <c r="D56" s="121"/>
      <c r="E56" s="121"/>
      <c r="F56" s="122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</row>
    <row r="57" spans="1:25" x14ac:dyDescent="0.45">
      <c r="A57" s="121"/>
      <c r="B57" s="121"/>
      <c r="C57" s="121"/>
      <c r="D57" s="121"/>
      <c r="E57" s="121"/>
      <c r="F57" s="122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</row>
    <row r="58" spans="1:25" x14ac:dyDescent="0.45">
      <c r="A58" s="121"/>
      <c r="B58" s="121"/>
      <c r="C58" s="121"/>
      <c r="D58" s="121"/>
      <c r="E58" s="121"/>
      <c r="F58" s="122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</row>
    <row r="59" spans="1:25" x14ac:dyDescent="0.45">
      <c r="A59" s="121"/>
      <c r="B59" s="121"/>
      <c r="C59" s="121"/>
      <c r="D59" s="121"/>
      <c r="E59" s="121"/>
      <c r="F59" s="122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</row>
    <row r="60" spans="1:25" x14ac:dyDescent="0.45">
      <c r="A60" s="121"/>
      <c r="B60" s="121"/>
      <c r="C60" s="121"/>
      <c r="D60" s="121"/>
      <c r="E60" s="121"/>
      <c r="F60" s="122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</row>
    <row r="61" spans="1:25" x14ac:dyDescent="0.45">
      <c r="A61" s="121"/>
      <c r="B61" s="121"/>
      <c r="C61" s="121"/>
      <c r="D61" s="121"/>
      <c r="E61" s="121"/>
      <c r="F61" s="122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</row>
    <row r="62" spans="1:25" x14ac:dyDescent="0.45">
      <c r="A62" s="121"/>
      <c r="B62" s="121"/>
      <c r="C62" s="121"/>
      <c r="D62" s="121"/>
      <c r="E62" s="121"/>
      <c r="F62" s="122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</row>
    <row r="63" spans="1:25" x14ac:dyDescent="0.45">
      <c r="A63" s="121"/>
      <c r="B63" s="121"/>
      <c r="C63" s="121"/>
      <c r="D63" s="121"/>
      <c r="E63" s="121"/>
      <c r="F63" s="122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</row>
    <row r="64" spans="1:25" x14ac:dyDescent="0.45">
      <c r="A64" s="121"/>
      <c r="B64" s="121"/>
      <c r="C64" s="121"/>
      <c r="D64" s="121"/>
      <c r="E64" s="121"/>
      <c r="F64" s="122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</row>
    <row r="65" spans="1:25" x14ac:dyDescent="0.45">
      <c r="A65" s="121"/>
      <c r="B65" s="121"/>
      <c r="C65" s="121"/>
      <c r="D65" s="121"/>
      <c r="E65" s="121"/>
      <c r="F65" s="122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</row>
    <row r="66" spans="1:25" x14ac:dyDescent="0.45">
      <c r="A66" s="121"/>
      <c r="B66" s="121"/>
      <c r="C66" s="121"/>
      <c r="D66" s="121"/>
      <c r="E66" s="121"/>
      <c r="F66" s="122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</row>
    <row r="67" spans="1:25" x14ac:dyDescent="0.45">
      <c r="A67" s="121"/>
      <c r="B67" s="121"/>
      <c r="C67" s="121"/>
      <c r="D67" s="121"/>
      <c r="E67" s="121"/>
      <c r="F67" s="122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</row>
    <row r="68" spans="1:25" x14ac:dyDescent="0.45">
      <c r="A68" s="121"/>
      <c r="B68" s="121"/>
      <c r="C68" s="121"/>
      <c r="D68" s="121"/>
      <c r="E68" s="121"/>
      <c r="F68" s="122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</row>
    <row r="69" spans="1:25" x14ac:dyDescent="0.45">
      <c r="A69" s="121"/>
      <c r="B69" s="121"/>
      <c r="C69" s="121"/>
      <c r="D69" s="121"/>
      <c r="E69" s="121"/>
      <c r="F69" s="122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</row>
    <row r="70" spans="1:25" x14ac:dyDescent="0.45">
      <c r="A70" s="121"/>
      <c r="B70" s="121"/>
      <c r="C70" s="121"/>
      <c r="D70" s="121"/>
      <c r="E70" s="121"/>
      <c r="F70" s="122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</row>
    <row r="71" spans="1:25" x14ac:dyDescent="0.45">
      <c r="A71" s="121"/>
      <c r="B71" s="121"/>
      <c r="C71" s="121"/>
      <c r="D71" s="121"/>
      <c r="E71" s="121"/>
      <c r="F71" s="122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</row>
    <row r="72" spans="1:25" x14ac:dyDescent="0.45">
      <c r="A72" s="121"/>
      <c r="B72" s="121"/>
      <c r="C72" s="121"/>
      <c r="D72" s="121"/>
      <c r="E72" s="121"/>
      <c r="F72" s="122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</row>
    <row r="73" spans="1:25" x14ac:dyDescent="0.45">
      <c r="A73" s="121"/>
      <c r="B73" s="121"/>
      <c r="C73" s="121"/>
      <c r="D73" s="121"/>
      <c r="E73" s="121"/>
      <c r="F73" s="122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</row>
    <row r="74" spans="1:25" x14ac:dyDescent="0.45">
      <c r="A74" s="121"/>
      <c r="B74" s="121"/>
      <c r="C74" s="121"/>
      <c r="D74" s="121"/>
      <c r="E74" s="121"/>
      <c r="F74" s="122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</row>
    <row r="75" spans="1:25" x14ac:dyDescent="0.45">
      <c r="A75" s="121"/>
      <c r="B75" s="121"/>
      <c r="C75" s="121"/>
      <c r="D75" s="121"/>
      <c r="E75" s="121"/>
      <c r="F75" s="122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</row>
    <row r="76" spans="1:25" x14ac:dyDescent="0.45">
      <c r="A76" s="121"/>
      <c r="B76" s="121"/>
      <c r="C76" s="121"/>
      <c r="D76" s="121"/>
      <c r="E76" s="121"/>
      <c r="F76" s="122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</row>
    <row r="77" spans="1:25" x14ac:dyDescent="0.45">
      <c r="A77" s="121"/>
      <c r="B77" s="121"/>
      <c r="C77" s="121"/>
      <c r="D77" s="121"/>
      <c r="E77" s="121"/>
      <c r="F77" s="122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</row>
    <row r="78" spans="1:25" x14ac:dyDescent="0.45">
      <c r="A78" s="121"/>
      <c r="B78" s="121"/>
      <c r="C78" s="121"/>
      <c r="D78" s="121"/>
      <c r="E78" s="121"/>
      <c r="F78" s="122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</row>
    <row r="79" spans="1:25" x14ac:dyDescent="0.45">
      <c r="A79" s="121"/>
      <c r="B79" s="121"/>
      <c r="C79" s="121"/>
      <c r="D79" s="121"/>
      <c r="E79" s="121"/>
      <c r="F79" s="122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</row>
    <row r="80" spans="1:25" x14ac:dyDescent="0.45">
      <c r="A80" s="121"/>
      <c r="B80" s="121"/>
      <c r="C80" s="121"/>
      <c r="D80" s="121"/>
      <c r="E80" s="121"/>
      <c r="F80" s="122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</row>
    <row r="81" spans="1:25" x14ac:dyDescent="0.45">
      <c r="A81" s="121"/>
      <c r="B81" s="121"/>
      <c r="C81" s="121"/>
      <c r="D81" s="121"/>
      <c r="E81" s="121"/>
      <c r="F81" s="122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</row>
    <row r="82" spans="1:25" x14ac:dyDescent="0.45">
      <c r="A82" s="121"/>
      <c r="B82" s="121"/>
      <c r="C82" s="121"/>
      <c r="D82" s="121"/>
      <c r="E82" s="121"/>
      <c r="F82" s="122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</row>
    <row r="83" spans="1:25" x14ac:dyDescent="0.45">
      <c r="A83" s="121"/>
      <c r="B83" s="121"/>
      <c r="C83" s="121"/>
      <c r="D83" s="121"/>
      <c r="E83" s="121"/>
      <c r="F83" s="122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</row>
    <row r="84" spans="1:25" x14ac:dyDescent="0.45">
      <c r="A84" s="121"/>
      <c r="B84" s="121"/>
      <c r="C84" s="121"/>
      <c r="D84" s="121"/>
      <c r="E84" s="121"/>
      <c r="F84" s="122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</row>
    <row r="85" spans="1:25" x14ac:dyDescent="0.45">
      <c r="A85" s="121"/>
      <c r="B85" s="121"/>
      <c r="C85" s="121"/>
      <c r="D85" s="121"/>
      <c r="E85" s="121"/>
      <c r="F85" s="122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</row>
    <row r="86" spans="1:25" x14ac:dyDescent="0.45">
      <c r="A86" s="121"/>
      <c r="B86" s="121"/>
      <c r="C86" s="121"/>
      <c r="D86" s="121"/>
      <c r="E86" s="121"/>
      <c r="F86" s="122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</row>
    <row r="87" spans="1:25" x14ac:dyDescent="0.45">
      <c r="A87" s="121"/>
      <c r="B87" s="121"/>
      <c r="C87" s="121"/>
      <c r="D87" s="121"/>
      <c r="E87" s="121"/>
      <c r="F87" s="122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</row>
    <row r="88" spans="1:25" x14ac:dyDescent="0.45">
      <c r="A88" s="121"/>
      <c r="B88" s="121"/>
      <c r="C88" s="121"/>
      <c r="D88" s="121"/>
      <c r="E88" s="121"/>
      <c r="F88" s="122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</row>
    <row r="89" spans="1:25" x14ac:dyDescent="0.45">
      <c r="A89" s="121"/>
      <c r="B89" s="121"/>
      <c r="C89" s="121"/>
      <c r="D89" s="121"/>
      <c r="E89" s="121"/>
      <c r="F89" s="122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</row>
    <row r="90" spans="1:25" x14ac:dyDescent="0.45">
      <c r="A90" s="121"/>
      <c r="B90" s="121"/>
      <c r="C90" s="121"/>
      <c r="D90" s="121"/>
      <c r="E90" s="121"/>
      <c r="F90" s="122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</row>
    <row r="91" spans="1:25" x14ac:dyDescent="0.45">
      <c r="A91" s="121"/>
      <c r="B91" s="121"/>
      <c r="C91" s="121"/>
      <c r="D91" s="121"/>
      <c r="E91" s="121"/>
      <c r="F91" s="122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</row>
    <row r="92" spans="1:25" x14ac:dyDescent="0.45">
      <c r="A92" s="121"/>
      <c r="B92" s="121"/>
      <c r="C92" s="121"/>
      <c r="D92" s="121"/>
      <c r="E92" s="121"/>
      <c r="F92" s="122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</row>
    <row r="93" spans="1:25" x14ac:dyDescent="0.45">
      <c r="A93" s="121"/>
      <c r="B93" s="121"/>
      <c r="C93" s="121"/>
      <c r="D93" s="121"/>
      <c r="E93" s="121"/>
      <c r="F93" s="122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</row>
    <row r="94" spans="1:25" x14ac:dyDescent="0.45">
      <c r="A94" s="121"/>
      <c r="B94" s="121"/>
      <c r="C94" s="121"/>
      <c r="D94" s="121"/>
      <c r="E94" s="121"/>
      <c r="F94" s="122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</row>
    <row r="95" spans="1:25" x14ac:dyDescent="0.45">
      <c r="A95" s="121"/>
      <c r="B95" s="121"/>
      <c r="C95" s="121"/>
      <c r="D95" s="121"/>
      <c r="E95" s="121"/>
      <c r="F95" s="122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</row>
    <row r="96" spans="1:25" x14ac:dyDescent="0.45">
      <c r="A96" s="121"/>
      <c r="B96" s="121"/>
      <c r="C96" s="121"/>
      <c r="D96" s="121"/>
      <c r="E96" s="121"/>
      <c r="F96" s="122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</row>
    <row r="97" spans="1:25" x14ac:dyDescent="0.45">
      <c r="A97" s="121"/>
      <c r="B97" s="121"/>
      <c r="C97" s="121"/>
      <c r="D97" s="121"/>
      <c r="E97" s="121"/>
      <c r="F97" s="122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</row>
    <row r="98" spans="1:25" x14ac:dyDescent="0.45">
      <c r="A98" s="121"/>
      <c r="B98" s="121"/>
      <c r="C98" s="121"/>
      <c r="D98" s="121"/>
      <c r="E98" s="121"/>
      <c r="F98" s="122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</row>
    <row r="99" spans="1:25" x14ac:dyDescent="0.45">
      <c r="A99" s="121"/>
      <c r="B99" s="121"/>
      <c r="C99" s="121"/>
      <c r="D99" s="121"/>
      <c r="E99" s="121"/>
      <c r="F99" s="122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</row>
    <row r="100" spans="1:25" x14ac:dyDescent="0.45">
      <c r="A100" s="121"/>
      <c r="B100" s="121"/>
      <c r="C100" s="121"/>
      <c r="D100" s="121"/>
      <c r="E100" s="121"/>
      <c r="F100" s="122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</row>
    <row r="101" spans="1:25" x14ac:dyDescent="0.45">
      <c r="A101" s="121"/>
      <c r="B101" s="121"/>
      <c r="C101" s="121"/>
      <c r="D101" s="121"/>
      <c r="E101" s="121"/>
      <c r="F101" s="122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</row>
    <row r="102" spans="1:25" x14ac:dyDescent="0.45">
      <c r="A102" s="121"/>
      <c r="B102" s="121"/>
      <c r="C102" s="121"/>
      <c r="D102" s="121"/>
      <c r="E102" s="121"/>
      <c r="F102" s="122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</row>
    <row r="103" spans="1:25" x14ac:dyDescent="0.45">
      <c r="A103" s="121"/>
      <c r="B103" s="121"/>
      <c r="C103" s="121"/>
      <c r="D103" s="121"/>
      <c r="E103" s="121"/>
      <c r="F103" s="122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</row>
    <row r="104" spans="1:25" x14ac:dyDescent="0.45">
      <c r="A104" s="121"/>
      <c r="B104" s="121"/>
      <c r="C104" s="121"/>
      <c r="D104" s="121"/>
      <c r="E104" s="121"/>
      <c r="F104" s="122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</row>
    <row r="105" spans="1:25" x14ac:dyDescent="0.45">
      <c r="A105" s="121"/>
      <c r="B105" s="121"/>
      <c r="C105" s="121"/>
      <c r="D105" s="121"/>
      <c r="E105" s="121"/>
      <c r="F105" s="122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</row>
  </sheetData>
  <mergeCells count="1">
    <mergeCell ref="P18:Q18"/>
  </mergeCells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I47"/>
  <sheetViews>
    <sheetView showGridLines="0" showRowColHeaders="0" workbookViewId="0"/>
  </sheetViews>
  <sheetFormatPr baseColWidth="10" defaultRowHeight="15" x14ac:dyDescent="0.25"/>
  <sheetData>
    <row r="1" spans="1:9" x14ac:dyDescent="0.25">
      <c r="A1" s="46" t="str">
        <f>visu!D7</f>
        <v xml:space="preserve"> EXT</v>
      </c>
      <c r="B1" s="46">
        <f>visu!C7</f>
        <v>65</v>
      </c>
      <c r="E1" s="52"/>
      <c r="F1" s="50">
        <v>1</v>
      </c>
      <c r="G1" s="48"/>
      <c r="H1" s="48"/>
      <c r="I1" s="48"/>
    </row>
    <row r="2" spans="1:9" x14ac:dyDescent="0.25">
      <c r="A2" s="46" t="str">
        <f>visu!D8</f>
        <v/>
      </c>
      <c r="B2" s="46">
        <f>visu!C8</f>
        <v>67</v>
      </c>
      <c r="E2" s="52"/>
      <c r="F2" s="50">
        <v>2</v>
      </c>
      <c r="G2" s="48"/>
      <c r="H2" s="48"/>
      <c r="I2" s="48"/>
    </row>
    <row r="3" spans="1:9" x14ac:dyDescent="0.25">
      <c r="A3" s="46">
        <f>visu!D9</f>
        <v>12</v>
      </c>
      <c r="B3" s="46">
        <f>visu!C9</f>
        <v>68</v>
      </c>
      <c r="E3" s="52"/>
      <c r="F3" s="50">
        <v>3</v>
      </c>
      <c r="G3" s="48"/>
      <c r="H3" s="48"/>
      <c r="I3" s="48"/>
    </row>
    <row r="4" spans="1:9" x14ac:dyDescent="0.25">
      <c r="A4" s="46" t="str">
        <f>visu!D10</f>
        <v/>
      </c>
      <c r="B4" s="46">
        <f>visu!C10</f>
        <v>72</v>
      </c>
      <c r="E4" s="52"/>
      <c r="F4" s="50">
        <v>4</v>
      </c>
      <c r="G4" s="48"/>
      <c r="H4" s="48"/>
      <c r="I4" s="48"/>
    </row>
    <row r="5" spans="1:9" x14ac:dyDescent="0.25">
      <c r="A5" s="46" t="str">
        <f>visu!D11</f>
        <v>C2</v>
      </c>
      <c r="B5" s="46">
        <f>visu!C11</f>
        <v>74</v>
      </c>
      <c r="E5" s="52"/>
      <c r="F5" s="50">
        <v>5</v>
      </c>
      <c r="G5" s="48"/>
      <c r="H5" s="48"/>
      <c r="I5" s="48"/>
    </row>
    <row r="6" spans="1:9" x14ac:dyDescent="0.25">
      <c r="A6" s="46" t="str">
        <f>visu!D12</f>
        <v/>
      </c>
      <c r="B6" s="46">
        <f>visu!C12</f>
        <v>78</v>
      </c>
      <c r="E6" s="52"/>
      <c r="F6" s="50">
        <v>6</v>
      </c>
      <c r="G6" s="48"/>
      <c r="H6" s="48"/>
      <c r="I6" s="48"/>
    </row>
    <row r="7" spans="1:9" x14ac:dyDescent="0.25">
      <c r="A7" s="46">
        <f>visu!D13</f>
        <v>15</v>
      </c>
      <c r="B7" s="46">
        <f>visu!C13</f>
        <v>81</v>
      </c>
      <c r="E7" s="52"/>
      <c r="F7" s="50">
        <v>7</v>
      </c>
      <c r="G7" s="48"/>
      <c r="H7" s="48"/>
      <c r="I7" s="48"/>
    </row>
    <row r="8" spans="1:9" x14ac:dyDescent="0.25">
      <c r="A8" s="46" t="str">
        <f>visu!D14</f>
        <v>C3</v>
      </c>
      <c r="B8" s="46">
        <f>visu!C14</f>
        <v>82</v>
      </c>
      <c r="E8" s="52"/>
      <c r="F8" s="50">
        <v>8</v>
      </c>
      <c r="G8" s="48"/>
      <c r="H8" s="48"/>
      <c r="I8" s="48"/>
    </row>
    <row r="9" spans="1:9" x14ac:dyDescent="0.25">
      <c r="A9" s="46">
        <f>visu!D15</f>
        <v>16</v>
      </c>
      <c r="B9" s="46">
        <f>visu!C15</f>
        <v>83</v>
      </c>
      <c r="E9" s="52"/>
      <c r="F9" s="50">
        <v>9</v>
      </c>
      <c r="G9" s="48"/>
      <c r="H9" s="48"/>
      <c r="I9" s="48"/>
    </row>
    <row r="10" spans="1:9" x14ac:dyDescent="0.25">
      <c r="A10" s="46">
        <f>visu!D16</f>
        <v>10</v>
      </c>
      <c r="B10" s="46">
        <f>visu!C16</f>
        <v>86</v>
      </c>
      <c r="E10" s="52"/>
      <c r="F10" s="50">
        <v>10</v>
      </c>
      <c r="G10" s="48"/>
      <c r="H10" s="48"/>
      <c r="I10" s="48"/>
    </row>
    <row r="11" spans="1:9" x14ac:dyDescent="0.25">
      <c r="A11" s="46" t="str">
        <f>visu!D17</f>
        <v/>
      </c>
      <c r="B11" s="46">
        <f>visu!C17</f>
        <v>87</v>
      </c>
      <c r="E11" s="52"/>
      <c r="F11" s="50">
        <v>11</v>
      </c>
      <c r="G11" s="48"/>
      <c r="H11" s="48"/>
      <c r="I11" s="48"/>
    </row>
    <row r="12" spans="1:9" x14ac:dyDescent="0.25">
      <c r="A12" s="46">
        <f>visu!D18</f>
        <v>8</v>
      </c>
      <c r="B12" s="46">
        <f>visu!C18</f>
        <v>90</v>
      </c>
      <c r="E12" s="52"/>
      <c r="F12" s="50">
        <v>12</v>
      </c>
      <c r="G12" s="48"/>
      <c r="H12" s="48"/>
      <c r="I12" s="48"/>
    </row>
    <row r="13" spans="1:9" x14ac:dyDescent="0.25">
      <c r="A13" s="46" t="str">
        <f>visu!D19</f>
        <v/>
      </c>
      <c r="B13" s="46">
        <f>visu!C19</f>
        <v>107</v>
      </c>
      <c r="E13" s="52"/>
      <c r="F13" s="50">
        <v>13</v>
      </c>
      <c r="G13" s="48"/>
      <c r="H13" s="48"/>
      <c r="I13" s="48"/>
    </row>
    <row r="14" spans="1:9" x14ac:dyDescent="0.25">
      <c r="A14" s="46">
        <f>visu!D20</f>
        <v>14</v>
      </c>
      <c r="B14" s="46">
        <f>visu!C20</f>
        <v>108</v>
      </c>
      <c r="E14" s="52"/>
      <c r="F14" s="50">
        <v>14</v>
      </c>
      <c r="G14" s="48"/>
      <c r="H14" s="48"/>
      <c r="I14" s="48"/>
    </row>
    <row r="15" spans="1:9" x14ac:dyDescent="0.25">
      <c r="A15" s="46" t="str">
        <f>visu!D21</f>
        <v/>
      </c>
      <c r="B15" s="46" t="str">
        <f>visu!C21</f>
        <v>V</v>
      </c>
      <c r="E15" s="52"/>
      <c r="F15" s="50">
        <v>15</v>
      </c>
      <c r="G15" s="48"/>
      <c r="H15" s="48"/>
      <c r="I15" s="48"/>
    </row>
    <row r="16" spans="1:9" x14ac:dyDescent="0.25">
      <c r="A16" s="46" t="str">
        <f>visu!D22</f>
        <v/>
      </c>
      <c r="B16" s="46" t="str">
        <f>visu!C22</f>
        <v>V</v>
      </c>
      <c r="E16" s="52"/>
      <c r="F16" s="50">
        <v>16</v>
      </c>
      <c r="G16" s="48"/>
      <c r="H16" s="48"/>
      <c r="I16" s="48"/>
    </row>
    <row r="17" spans="1:9" x14ac:dyDescent="0.25">
      <c r="A17" s="46" t="str">
        <f>visu!D23</f>
        <v/>
      </c>
      <c r="B17" s="46" t="str">
        <f>visu!C23</f>
        <v>V</v>
      </c>
      <c r="E17" s="52"/>
      <c r="F17" s="50">
        <v>17</v>
      </c>
      <c r="G17" s="48"/>
      <c r="H17" s="48"/>
      <c r="I17" s="48"/>
    </row>
    <row r="18" spans="1:9" x14ac:dyDescent="0.25">
      <c r="A18" s="46" t="str">
        <f>visu!D24</f>
        <v/>
      </c>
      <c r="B18" s="46" t="str">
        <f>visu!C24</f>
        <v>V</v>
      </c>
      <c r="E18" s="52"/>
      <c r="F18" s="50">
        <v>18</v>
      </c>
      <c r="G18" s="48"/>
      <c r="H18" s="48"/>
      <c r="I18" s="48"/>
    </row>
    <row r="19" spans="1:9" x14ac:dyDescent="0.25">
      <c r="A19" s="46" t="str">
        <f>visu!D25</f>
        <v/>
      </c>
      <c r="B19" s="46" t="str">
        <f>visu!C25</f>
        <v>V</v>
      </c>
      <c r="E19" s="52"/>
      <c r="F19" s="50">
        <v>19</v>
      </c>
      <c r="G19" s="48"/>
      <c r="H19" s="48"/>
      <c r="I19" s="48"/>
    </row>
    <row r="20" spans="1:9" x14ac:dyDescent="0.25">
      <c r="A20" s="46" t="str">
        <f>visu!D26</f>
        <v/>
      </c>
      <c r="B20" s="46" t="str">
        <f>visu!C26</f>
        <v>V</v>
      </c>
      <c r="E20" s="52"/>
      <c r="F20" s="50">
        <v>20</v>
      </c>
      <c r="G20" s="48"/>
      <c r="H20" s="48"/>
      <c r="I20" s="48"/>
    </row>
    <row r="21" spans="1:9" x14ac:dyDescent="0.25">
      <c r="A21" s="46" t="str">
        <f>visu!D27</f>
        <v>EXT</v>
      </c>
      <c r="B21" s="46" t="str">
        <f>visu!C27</f>
        <v>x103</v>
      </c>
      <c r="E21" s="52"/>
      <c r="F21" s="50">
        <v>21</v>
      </c>
      <c r="G21" s="48"/>
      <c r="H21" s="48"/>
      <c r="I21" s="48"/>
    </row>
    <row r="22" spans="1:9" x14ac:dyDescent="0.25">
      <c r="A22" s="46" t="str">
        <f>visu!D28</f>
        <v>C7</v>
      </c>
      <c r="B22" s="46" t="str">
        <f>visu!C28</f>
        <v>x105</v>
      </c>
      <c r="E22" s="52"/>
      <c r="F22" s="50">
        <v>22</v>
      </c>
      <c r="G22" s="48"/>
      <c r="H22" s="48"/>
      <c r="I22" s="48"/>
    </row>
    <row r="23" spans="1:9" x14ac:dyDescent="0.25">
      <c r="A23" s="46" t="str">
        <f>visu!D29</f>
        <v>D8</v>
      </c>
      <c r="B23" s="46" t="str">
        <f>visu!C29</f>
        <v>x85</v>
      </c>
      <c r="E23" s="52"/>
      <c r="F23" s="50" t="s">
        <v>10</v>
      </c>
      <c r="G23" s="48" t="s">
        <v>11</v>
      </c>
      <c r="H23" s="48" t="s">
        <v>12</v>
      </c>
      <c r="I23" s="48" t="s">
        <v>13</v>
      </c>
    </row>
    <row r="24" spans="1:9" x14ac:dyDescent="0.25">
      <c r="A24" s="46" t="str">
        <f>visu!D30</f>
        <v>C8</v>
      </c>
      <c r="B24" s="46" t="str">
        <f>visu!C30</f>
        <v>x92</v>
      </c>
      <c r="E24" s="52"/>
      <c r="F24" s="50" t="s">
        <v>14</v>
      </c>
      <c r="G24" s="48" t="s">
        <v>15</v>
      </c>
      <c r="H24" s="48" t="s">
        <v>16</v>
      </c>
      <c r="I24" s="48" t="s">
        <v>17</v>
      </c>
    </row>
    <row r="25" spans="1:9" x14ac:dyDescent="0.25">
      <c r="A25" s="46" t="str">
        <f>visu!D31</f>
        <v>D3</v>
      </c>
      <c r="B25" s="46" t="str">
        <f>visu!C31</f>
        <v>x98</v>
      </c>
      <c r="E25" s="52"/>
      <c r="F25" s="50" t="s">
        <v>18</v>
      </c>
      <c r="G25" s="48" t="s">
        <v>19</v>
      </c>
      <c r="H25" s="48" t="s">
        <v>20</v>
      </c>
      <c r="I25" s="48" t="s">
        <v>21</v>
      </c>
    </row>
    <row r="26" spans="1:9" x14ac:dyDescent="0.25">
      <c r="A26" s="49" t="s">
        <v>47</v>
      </c>
      <c r="B26" s="50"/>
      <c r="E26" s="52"/>
      <c r="F26" s="50" t="s">
        <v>22</v>
      </c>
      <c r="G26" s="48" t="s">
        <v>23</v>
      </c>
      <c r="H26" s="48" t="s">
        <v>24</v>
      </c>
      <c r="I26" s="48" t="s">
        <v>25</v>
      </c>
    </row>
    <row r="27" spans="1:9" x14ac:dyDescent="0.25">
      <c r="A27" s="48" t="s">
        <v>49</v>
      </c>
      <c r="B27" s="48" t="s">
        <v>48</v>
      </c>
      <c r="E27" s="52"/>
      <c r="F27" s="50" t="s">
        <v>26</v>
      </c>
      <c r="G27" s="48" t="s">
        <v>27</v>
      </c>
      <c r="H27" s="48" t="s">
        <v>28</v>
      </c>
      <c r="I27" s="48" t="s">
        <v>29</v>
      </c>
    </row>
    <row r="28" spans="1:9" x14ac:dyDescent="0.25">
      <c r="A28" s="51" t="str">
        <f>IF([1]Paramètre!B59="","",[1]Paramètre!B59)</f>
        <v>B6</v>
      </c>
      <c r="B28" s="51">
        <f>IF([1]Paramètre!C59="","",[1]Paramètre!C59)</f>
        <v>96</v>
      </c>
      <c r="E28" s="52"/>
      <c r="F28" s="50" t="s">
        <v>30</v>
      </c>
      <c r="G28" s="48" t="s">
        <v>31</v>
      </c>
      <c r="H28" s="48" t="s">
        <v>32</v>
      </c>
      <c r="I28" s="48" t="s">
        <v>33</v>
      </c>
    </row>
    <row r="29" spans="1:9" x14ac:dyDescent="0.25">
      <c r="A29" s="51" t="str">
        <f>IF([1]Paramètre!B60="","",[1]Paramètre!B60)</f>
        <v>B3</v>
      </c>
      <c r="B29" s="51">
        <f>IF([1]Paramètre!C60="","",[1]Paramètre!C60)</f>
        <v>54</v>
      </c>
      <c r="E29" s="52"/>
      <c r="F29" s="50" t="s">
        <v>34</v>
      </c>
      <c r="G29" s="48" t="s">
        <v>35</v>
      </c>
      <c r="H29" s="48" t="s">
        <v>36</v>
      </c>
      <c r="I29" s="48" t="s">
        <v>37</v>
      </c>
    </row>
    <row r="30" spans="1:9" x14ac:dyDescent="0.25">
      <c r="A30" s="51" t="str">
        <f>IF([1]Paramètre!B61="","",[1]Paramètre!B61)</f>
        <v>B5</v>
      </c>
      <c r="B30" s="51">
        <f>IF([1]Paramètre!C61="","",[1]Paramètre!C61)</f>
        <v>79</v>
      </c>
      <c r="E30" s="52"/>
      <c r="F30" s="50" t="s">
        <v>38</v>
      </c>
      <c r="G30" s="48" t="s">
        <v>39</v>
      </c>
      <c r="H30" s="48" t="s">
        <v>40</v>
      </c>
      <c r="I30" s="48" t="s">
        <v>41</v>
      </c>
    </row>
    <row r="31" spans="1:9" x14ac:dyDescent="0.25">
      <c r="A31" s="51" t="str">
        <f>IF([1]Paramètre!B62="","",[1]Paramètre!B62)</f>
        <v>B4</v>
      </c>
      <c r="B31" s="51" t="str">
        <f>IF([1]Paramètre!C62="","",[1]Paramètre!C62)</f>
        <v/>
      </c>
      <c r="E31" s="52"/>
      <c r="F31" s="50" t="s">
        <v>42</v>
      </c>
      <c r="G31" s="48" t="s">
        <v>43</v>
      </c>
      <c r="H31" s="48"/>
      <c r="I31" s="48"/>
    </row>
    <row r="32" spans="1:9" x14ac:dyDescent="0.25">
      <c r="A32" s="51" t="str">
        <f>IF([1]Paramètre!B63="","",[1]Paramètre!B63)</f>
        <v>B7</v>
      </c>
      <c r="B32" s="51">
        <f>IF([1]Paramètre!C63="","",[1]Paramètre!C63)</f>
        <v>91</v>
      </c>
      <c r="E32" s="52"/>
      <c r="F32" s="50"/>
      <c r="G32" s="48" t="s">
        <v>44</v>
      </c>
      <c r="H32" s="48"/>
      <c r="I32" s="48"/>
    </row>
    <row r="33" spans="1:9" x14ac:dyDescent="0.25">
      <c r="A33" s="51" t="str">
        <f>IF([1]Paramètre!B64="","",[1]Paramètre!B64)</f>
        <v>B8</v>
      </c>
      <c r="B33" s="51">
        <f>IF([1]Paramètre!C64="","",[1]Paramètre!C64)</f>
        <v>102</v>
      </c>
      <c r="E33" s="52"/>
      <c r="F33" s="50" t="s">
        <v>45</v>
      </c>
      <c r="G33" s="48"/>
      <c r="H33" s="48"/>
      <c r="I33" s="48"/>
    </row>
    <row r="34" spans="1:9" x14ac:dyDescent="0.25">
      <c r="A34" s="51" t="str">
        <f>IF([1]Paramètre!B65="","",[1]Paramètre!B65)</f>
        <v>B9</v>
      </c>
      <c r="B34" s="51">
        <f>IF([1]Paramètre!C65="","",[1]Paramètre!C65)</f>
        <v>66</v>
      </c>
    </row>
    <row r="35" spans="1:9" x14ac:dyDescent="0.25">
      <c r="A35" s="51" t="str">
        <f>IF([1]Paramètre!B66="","",[1]Paramètre!B66)</f>
        <v>B10</v>
      </c>
      <c r="B35" s="51">
        <f>IF([1]Paramètre!C66="","",[1]Paramètre!C66)</f>
        <v>75</v>
      </c>
    </row>
    <row r="36" spans="1:9" x14ac:dyDescent="0.25">
      <c r="A36" s="51" t="str">
        <f>IF([1]Paramètre!B67="","",[1]Paramètre!B67)</f>
        <v>C1</v>
      </c>
      <c r="B36" s="51" t="str">
        <f>IF([1]Paramètre!C67="","",[1]Paramètre!C67)</f>
        <v/>
      </c>
    </row>
    <row r="37" spans="1:9" x14ac:dyDescent="0.25">
      <c r="A37" s="51" t="str">
        <f>IF([1]Paramètre!B68="","",[1]Paramètre!B68)</f>
        <v>C2</v>
      </c>
      <c r="B37" s="51" t="str">
        <f>IF([1]Paramètre!C68="","",[1]Paramètre!C68)</f>
        <v/>
      </c>
    </row>
    <row r="38" spans="1:9" x14ac:dyDescent="0.25">
      <c r="A38" s="51" t="str">
        <f>IF([1]Paramètre!B69="","",[1]Paramètre!B69)</f>
        <v>C3</v>
      </c>
      <c r="B38" s="51" t="str">
        <f>IF([1]Paramètre!C69="","",[1]Paramètre!C69)</f>
        <v/>
      </c>
    </row>
    <row r="39" spans="1:9" x14ac:dyDescent="0.25">
      <c r="A39" s="51" t="str">
        <f>IF([1]Paramètre!B70="","",[1]Paramètre!B70)</f>
        <v>C4</v>
      </c>
      <c r="B39" s="51" t="str">
        <f>IF([1]Paramètre!C70="","",[1]Paramètre!C70)</f>
        <v/>
      </c>
    </row>
    <row r="40" spans="1:9" x14ac:dyDescent="0.25">
      <c r="A40" s="51" t="str">
        <f>IF([1]Paramètre!B71="","",[1]Paramètre!B71)</f>
        <v>C6</v>
      </c>
      <c r="B40" s="51" t="str">
        <f>IF([1]Paramètre!C71="","",[1]Paramètre!C71)</f>
        <v/>
      </c>
    </row>
    <row r="41" spans="1:9" x14ac:dyDescent="0.25">
      <c r="A41" s="51" t="str">
        <f>IF([1]Paramètre!B72="","",[1]Paramètre!B72)</f>
        <v>C8</v>
      </c>
      <c r="B41" s="51" t="str">
        <f>IF([1]Paramètre!C72="","",[1]Paramètre!C72)</f>
        <v/>
      </c>
    </row>
    <row r="42" spans="1:9" x14ac:dyDescent="0.25">
      <c r="A42" s="51" t="str">
        <f>IF([1]Paramètre!B73="","",[1]Paramètre!B73)</f>
        <v>D1</v>
      </c>
      <c r="B42" s="51" t="str">
        <f>IF([1]Paramètre!C73="","",[1]Paramètre!C73)</f>
        <v/>
      </c>
    </row>
    <row r="43" spans="1:9" x14ac:dyDescent="0.25">
      <c r="A43" s="51" t="str">
        <f>IF([1]Paramètre!B74="","",[1]Paramètre!B74)</f>
        <v>D9</v>
      </c>
      <c r="B43" s="51" t="str">
        <f>IF([1]Paramètre!C74="","",[1]Paramètre!C74)</f>
        <v/>
      </c>
    </row>
    <row r="44" spans="1:9" x14ac:dyDescent="0.25">
      <c r="A44" s="51" t="str">
        <f>IF([1]Paramètre!B75="","",[1]Paramètre!B75)</f>
        <v>D4</v>
      </c>
      <c r="B44" s="51" t="str">
        <f>IF([1]Paramètre!C75="","",[1]Paramètre!C75)</f>
        <v/>
      </c>
    </row>
    <row r="45" spans="1:9" x14ac:dyDescent="0.25">
      <c r="A45" s="51" t="str">
        <f>IF([1]Paramètre!B76="","",[1]Paramètre!B76)</f>
        <v>D3</v>
      </c>
      <c r="B45" s="51" t="str">
        <f>IF([1]Paramètre!C76="","",[1]Paramètre!C76)</f>
        <v/>
      </c>
    </row>
    <row r="46" spans="1:9" x14ac:dyDescent="0.25">
      <c r="A46" s="51" t="str">
        <f>IF([1]Paramètre!B77="","",[1]Paramètre!B77)</f>
        <v>D7</v>
      </c>
      <c r="B46" s="51" t="str">
        <f>IF([1]Paramètre!C77="","",[1]Paramètre!C77)</f>
        <v/>
      </c>
    </row>
    <row r="47" spans="1:9" x14ac:dyDescent="0.25">
      <c r="A47" s="51" t="str">
        <f>IF([1]Paramètre!B78="","",[1]Paramètre!B78)</f>
        <v>D8</v>
      </c>
      <c r="B47" s="51" t="str">
        <f>IF([1]Paramètre!C78="","",[1]Paramètre!C78)</f>
        <v/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visu</vt:lpstr>
      <vt:lpstr>PKG</vt:lpstr>
      <vt:lpstr>Pos</vt:lpstr>
      <vt:lpstr>copos</vt:lpstr>
      <vt:lpstr>visu!Zone_d_impression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DASI Olivier</dc:creator>
  <cp:lastModifiedBy>GUILLOT Jacques</cp:lastModifiedBy>
  <dcterms:created xsi:type="dcterms:W3CDTF">2006-09-16T00:00:00Z</dcterms:created>
  <dcterms:modified xsi:type="dcterms:W3CDTF">2026-08-26T10:58:23Z</dcterms:modified>
</cp:coreProperties>
</file>